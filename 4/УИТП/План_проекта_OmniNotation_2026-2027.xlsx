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5d091b752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спорт" sheetId="1" r:id="R96f68433e003454e"/>
    <x:sheet xmlns:r="http://schemas.openxmlformats.org/officeDocument/2006/relationships" name="План" sheetId="2" r:id="R80ad7e6d38fd4cc2"/>
    <x:sheet xmlns:r="http://schemas.openxmlformats.org/officeDocument/2006/relationships" name="Гант" sheetId="3" r:id="Rd59d9a2a0972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#,##0"/>
    <x:numFmt numFmtId="202" formatCode="#,##0 &quot;₽&quot;"/>
    <x:numFmt numFmtId="203" formatCode="0%"/>
    <x:numFmt numFmtId="204" formatCode="dd.mm"/>
  </x:numFmts>
  <x:fonts count="9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b/>
      <x:sz val="15"/>
      <x:color rgb="FF203864"/>
      <x:name val="Arial"/>
    </x:font>
    <x:font>
      <x:b/>
      <x:sz val="11"/>
      <x:color rgb="FF203864"/>
      <x:name val="Arial"/>
    </x:font>
    <x:font>
      <x:b/>
      <x:sz val="10"/>
      <x:color rgb="FF203864"/>
      <x:name val="Arial"/>
    </x:font>
    <x:font>
      <x:b/>
      <x:sz val="14"/>
      <x:color rgb="FF203864"/>
      <x:name val="Arial"/>
    </x:font>
    <x:font>
      <x:b/>
      <x:sz val="9"/>
      <x:color rgb="FFFFFFFF"/>
      <x:name val="Arial"/>
    </x:font>
    <x:font>
      <x:b/>
      <x:sz val="11"/>
      <x:color rgb="FF4472C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0F4FA"/>
      </x:patternFill>
    </x:fill>
    <x:fill>
      <x:patternFill patternType="solid">
        <x:fgColor rgb="FFE6EEF8"/>
      </x:patternFill>
    </x:fill>
    <x:fill>
      <x:patternFill patternType="solid">
        <x:fgColor rgb="FFFFF0BD"/>
      </x:patternFill>
    </x:fill>
    <x:fill>
      <x:patternFill patternType="solid">
        <x:fgColor rgb="FFDDE8F6"/>
      </x:patternFill>
    </x:fill>
  </x:fills>
  <x:borders count="2">
    <x:border/>
    <x:border>
      <x:bottom style="thin">
        <x:color rgb="FFB9C8DA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203" fontId="1" fillId="0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1" fillId="5" borderId="0" xfId="0" applyNumberFormat="1" applyFont="1" applyFill="1" applyBorder="1"/>
    <x:xf numFmtId="202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202" fontId="5" fillId="6" borderId="0" xfId="0" applyNumberFormat="1" applyFont="1" applyFill="1" applyBorder="1"/>
    <x:xf numFmtId="203" fontId="1" fillId="5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2" borderId="0" xfId="0" applyNumberFormat="1" applyFont="1" applyFill="1" applyBorder="1"/>
    <x:xf numFmtId="204" fontId="0" fillId="2" borderId="0" xfId="0" applyNumberFormat="1" applyFont="1" applyFill="1" applyBorder="1"/>
    <x:xf numFmtId="0" fontId="7" fillId="2" borderId="0" xfId="0" applyNumberFormat="1" applyFont="1" applyFill="1" applyBorder="1"/>
    <x:xf numFmtId="204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FDCE8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2b43426de4075" /><Relationship Type="http://schemas.openxmlformats.org/officeDocument/2006/relationships/theme" Target="/xl/theme/theme1.xml" Id="Rd4e75b3116a74af8" /><Relationship Type="http://schemas.openxmlformats.org/officeDocument/2006/relationships/sharedStrings" Target="/xl/sharedStrings.xml" Id="R2439c8ae24ab4a1e" /><Relationship Type="http://schemas.openxmlformats.org/officeDocument/2006/relationships/worksheet" Target="/xl/worksheets/sheet1.xml" Id="R96f68433e003454e" /><Relationship Type="http://schemas.openxmlformats.org/officeDocument/2006/relationships/worksheet" Target="/xl/worksheets/sheet2.xml" Id="R80ad7e6d38fd4cc2" /><Relationship Type="http://schemas.openxmlformats.org/officeDocument/2006/relationships/worksheet" Target="/xl/worksheets/sheet3.xml" Id="Rd59d9a2a09724c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7" hidden="0" customWidth="1"/>
    <x:col min="4" max="4" width="23" hidden="0" customWidth="1"/>
    <x:col min="5" max="5" width="20" hidden="0" customWidth="1"/>
    <x:col min="6" max="6" width="16" hidden="0" customWidth="1"/>
    <x:col min="7" max="7" width="21" hidden="0" customWidth="1"/>
  </x:cols>
  <x:sheetData>
    <x:row r="2">
      <x:c r="A2" s="20" t="str">
        <x:v>OmniNotation: разработка и маркетинг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>
      <x:c r="A4" s="1" t="str">
        <x:v>Старт проекта</x:v>
      </x:c>
      <x:c r="B4" s="5" t="n">
        <x:v>46327</x:v>
      </x:c>
      <x:c r="C4" s="1" t="str">
        <x:v>Завершение</x:v>
      </x:c>
      <x:c r="D4" s="5" t="n">
        <x:v>46568</x:v>
      </x:c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>
      <x:c r="A6" s="1" t="str">
        <x:v>Операций</x:v>
      </x:c>
      <x:c r="B6" s="1" t="n">
        <x:f>COUNTIFS('План'!E2:E40,"&gt;0")</x:f>
        <x:v>36</x:v>
      </x:c>
      <x:c r="C6" s="1"/>
      <x:c r="D6" s="9" t="str">
        <x:v>Роль</x:v>
      </x:c>
      <x:c r="E6" s="9" t="str">
        <x:v>Ставка, ₽/день</x:v>
      </x:c>
      <x:c r="F6" s="9" t="str">
        <x:v>Чел.-дн.</x:v>
      </x:c>
      <x:c r="G6" s="9" t="str">
        <x:v>Стоимость, ₽</x:v>
      </x:c>
    </x:row>
    <x:row r="7">
      <x:c r="A7" s="1" t="str">
        <x:v>Трудозатраты, чел.-дн.</x:v>
      </x:c>
      <x:c r="B7" s="1" t="n">
        <x:f>SUM('План'!G2:G40)</x:f>
        <x:v>312</x:v>
      </x:c>
      <x:c r="C7" s="1"/>
      <x:c r="D7" s="1" t="str">
        <x:v>РП</x:v>
      </x:c>
      <x:c r="E7" s="28" t="n">
        <x:v>8000</x:v>
      </x:c>
      <x:c r="F7" s="1" t="n">
        <x:f>SUMIFS('План'!$G$2:$G$40,'План'!$F$2:$F$40,D7)</x:f>
        <x:v>41</x:v>
      </x:c>
      <x:c r="G7" s="7" t="n">
        <x:f>E7*F7</x:f>
        <x:v>328000</x:v>
      </x:c>
    </x:row>
    <x:row r="8">
      <x:c r="A8" s="1" t="str">
        <x:v>Оплата труда, ₽</x:v>
      </x:c>
      <x:c r="B8" s="7" t="n">
        <x:f>SUM('План'!I2:I40)</x:f>
        <x:v>2593000</x:v>
      </x:c>
      <x:c r="C8" s="1"/>
      <x:c r="D8" s="1" t="str">
        <x:v>АР</x:v>
      </x:c>
      <x:c r="E8" s="28" t="n">
        <x:v>10000</x:v>
      </x:c>
      <x:c r="F8" s="1" t="n">
        <x:f>SUMIFS('План'!$G$2:$G$40,'План'!$F$2:$F$40,D8)</x:f>
        <x:v>78</x:v>
      </x:c>
      <x:c r="G8" s="7" t="n">
        <x:f>E8*F8</x:f>
        <x:v>780000</x:v>
      </x:c>
    </x:row>
    <x:row r="9">
      <x:c r="A9" s="1" t="str">
        <x:v>Оборудование, ₽</x:v>
      </x:c>
      <x:c r="B9" s="7" t="n">
        <x:f>SUM(D29:D31)</x:f>
        <x:v>475000</x:v>
      </x:c>
      <x:c r="C9" s="1"/>
      <x:c r="D9" s="1" t="str">
        <x:v>ИН</x:v>
      </x:c>
      <x:c r="E9" s="28" t="n">
        <x:v>9000</x:v>
      </x:c>
      <x:c r="F9" s="1" t="n">
        <x:f>SUMIFS('План'!$G$2:$G$40,'План'!$F$2:$F$40,D9)</x:f>
        <x:v>67</x:v>
      </x:c>
      <x:c r="G9" s="7" t="n">
        <x:f>E9*F9</x:f>
        <x:v>603000</x:v>
      </x:c>
    </x:row>
    <x:row r="10">
      <x:c r="A10" s="1" t="str">
        <x:v>ПО и сервисы, ₽</x:v>
      </x:c>
      <x:c r="B10" s="7" t="n">
        <x:f>D33</x:f>
        <x:v>90000</x:v>
      </x:c>
      <x:c r="C10" s="1"/>
      <x:c r="D10" s="1" t="str">
        <x:v>UX</x:v>
      </x:c>
      <x:c r="E10" s="28" t="n">
        <x:v>7000</x:v>
      </x:c>
      <x:c r="F10" s="1" t="n">
        <x:f>SUMIFS('План'!$G$2:$G$40,'План'!$F$2:$F$40,D10)</x:f>
        <x:v>41</x:v>
      </x:c>
      <x:c r="G10" s="7" t="n">
        <x:f>E10*F10</x:f>
        <x:v>287000</x:v>
      </x:c>
    </x:row>
    <x:row r="11">
      <x:c r="A11" s="1" t="str">
        <x:v>Маркетинговые расходы, ₽</x:v>
      </x:c>
      <x:c r="B11" s="7" t="n">
        <x:f>SUM(D35:D37)</x:f>
        <x:v>160000</x:v>
      </x:c>
      <x:c r="C11" s="1"/>
      <x:c r="D11" s="1" t="str">
        <x:v>МК</x:v>
      </x:c>
      <x:c r="E11" s="28" t="n">
        <x:v>7000</x:v>
      </x:c>
      <x:c r="F11" s="1" t="n">
        <x:f>SUMIFS('План'!$G$2:$G$40,'План'!$F$2:$F$40,D11)</x:f>
        <x:v>85</x:v>
      </x:c>
      <x:c r="G11" s="7" t="n">
        <x:f>E11*F11</x:f>
        <x:v>595000</x:v>
      </x:c>
    </x:row>
    <x:row r="12">
      <x:c r="A12" s="1" t="str">
        <x:v>Прямые затраты, ₽</x:v>
      </x:c>
      <x:c r="B12" s="7" t="n">
        <x:f>SUM(B8:B11)</x:f>
        <x:v>3318000</x:v>
      </x:c>
      <x:c r="C12" s="1"/>
      <x:c r="D12" s="1"/>
      <x:c r="E12" s="1"/>
      <x:c r="F12" s="1"/>
      <x:c r="G12" s="1"/>
    </x:row>
    <x:row r="13">
      <x:c r="A13" s="1" t="str">
        <x:v>Резерв, %</x:v>
      </x:c>
      <x:c r="B13" s="32" t="n">
        <x:v>0.1</x:v>
      </x:c>
      <x:c r="C13" s="1"/>
      <x:c r="D13" s="1"/>
      <x:c r="E13" s="1"/>
      <x:c r="F13" s="1"/>
      <x:c r="G13" s="1"/>
    </x:row>
    <x:row r="14">
      <x:c r="A14" s="1" t="str">
        <x:v>Резерв, ₽</x:v>
      </x:c>
      <x:c r="B14" s="7" t="n">
        <x:f>B12*B13</x:f>
        <x:v>331800</x:v>
      </x:c>
      <x:c r="C14" s="1"/>
      <x:c r="D14" s="1"/>
      <x:c r="E14" s="1"/>
      <x:c r="F14" s="1"/>
      <x:c r="G14" s="1"/>
    </x:row>
    <x:row r="15">
      <x:c r="A15" s="25" t="str">
        <x:v>ИТОГО, ₽</x:v>
      </x:c>
      <x:c r="B15" s="26" t="n">
        <x:f>B12+B14</x:f>
        <x:v>3649800</x:v>
      </x:c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9" t="str">
        <x:v>Этап</x:v>
      </x:c>
      <x:c r="B19" s="9" t="str">
        <x:v>Содержание</x:v>
      </x:c>
      <x:c r="C19" s="9" t="str">
        <x:v>Чел.-дн.</x:v>
      </x:c>
      <x:c r="D19" s="9" t="str">
        <x:v>Труд, ₽</x:v>
      </x:c>
      <x:c r="E19" s="1"/>
      <x:c r="F19" s="1"/>
      <x:c r="G19" s="1"/>
    </x:row>
    <x:row r="20">
      <x:c r="A20" s="1" t="n">
        <x:v>1</x:v>
      </x:c>
      <x:c r="B20" s="1" t="str">
        <x:v>Концепция и аудитория</x:v>
      </x:c>
      <x:c r="C20" s="1" t="n">
        <x:f>SUMIFS('План'!$G$2:$G$40,'План'!$K$2:$K$40,A20)</x:f>
        <x:v>22</x:v>
      </x:c>
      <x:c r="D20" s="7" t="n">
        <x:f>SUMIFS('План'!$I$2:$I$40,'План'!$K$2:$K$40,A20)</x:f>
        <x:v>176000</x:v>
      </x:c>
      <x:c r="E20" s="1"/>
      <x:c r="F20" s="1"/>
      <x:c r="G20" s="1"/>
    </x:row>
    <x:row r="21">
      <x:c r="A21" s="1" t="n">
        <x:v>2</x:v>
      </x:c>
      <x:c r="B21" s="1" t="str">
        <x:v>Требования и дизайн</x:v>
      </x:c>
      <x:c r="C21" s="1" t="n">
        <x:f>SUMIFS('План'!$G$2:$G$40,'План'!$K$2:$K$40,A21)</x:f>
        <x:v>42</x:v>
      </x:c>
      <x:c r="D21" s="7" t="n">
        <x:f>SUMIFS('План'!$I$2:$I$40,'План'!$K$2:$K$40,A21)</x:f>
        <x:v>333000</x:v>
      </x:c>
      <x:c r="E21" s="1"/>
      <x:c r="F21" s="1"/>
      <x:c r="G21" s="1"/>
    </x:row>
    <x:row r="22">
      <x:c r="A22" s="1" t="n">
        <x:v>3</x:v>
      </x:c>
      <x:c r="B22" s="1" t="str">
        <x:v>Общая платформа</x:v>
      </x:c>
      <x:c r="C22" s="1" t="n">
        <x:f>SUMIFS('План'!$G$2:$G$40,'План'!$K$2:$K$40,A22)</x:f>
        <x:v>55</x:v>
      </x:c>
      <x:c r="D22" s="7" t="n">
        <x:f>SUMIFS('План'!$I$2:$I$40,'План'!$K$2:$K$40,A22)</x:f>
        <x:v>507000</x:v>
      </x:c>
      <x:c r="E22" s="1"/>
      <x:c r="F22" s="1"/>
      <x:c r="G22" s="1"/>
    </x:row>
    <x:row r="23">
      <x:c r="A23" s="1" t="n">
        <x:v>4</x:v>
      </x:c>
      <x:c r="B23" s="1" t="str">
        <x:v>Нотации и синхронизация</x:v>
      </x:c>
      <x:c r="C23" s="1" t="n">
        <x:f>SUMIFS('План'!$G$2:$G$40,'План'!$K$2:$K$40,A23)</x:f>
        <x:v>81</x:v>
      </x:c>
      <x:c r="D23" s="7" t="n">
        <x:f>SUMIFS('План'!$I$2:$I$40,'План'!$K$2:$K$40,A23)</x:f>
        <x:v>735000</x:v>
      </x:c>
      <x:c r="E23" s="1"/>
      <x:c r="F23" s="1"/>
      <x:c r="G23" s="1"/>
    </x:row>
    <x:row r="24">
      <x:c r="A24" s="1" t="n">
        <x:v>5</x:v>
      </x:c>
      <x:c r="B24" s="1" t="str">
        <x:v>Приёмка и выпуск</x:v>
      </x:c>
      <x:c r="C24" s="1" t="n">
        <x:f>SUMIFS('План'!$G$2:$G$40,'План'!$K$2:$K$40,A24)</x:f>
        <x:v>38</x:v>
      </x:c>
      <x:c r="D24" s="7" t="n">
        <x:f>SUMIFS('План'!$I$2:$I$40,'План'!$K$2:$K$40,A24)</x:f>
        <x:v>318000</x:v>
      </x:c>
      <x:c r="E24" s="1"/>
      <x:c r="F24" s="1"/>
      <x:c r="G24" s="1"/>
    </x:row>
    <x:row r="25">
      <x:c r="A25" s="1" t="n">
        <x:v>6</x:v>
      </x:c>
      <x:c r="B25" s="1" t="str">
        <x:v>Маркетинг и пилот</x:v>
      </x:c>
      <x:c r="C25" s="1" t="n">
        <x:f>SUMIFS('План'!$G$2:$G$40,'План'!$K$2:$K$40,A25)</x:f>
        <x:v>74</x:v>
      </x:c>
      <x:c r="D25" s="7" t="n">
        <x:f>SUMIFS('План'!$I$2:$I$40,'План'!$K$2:$K$40,A25)</x:f>
        <x:v>524000</x:v>
      </x:c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30" t="str">
        <x:v>Оборудование</x:v>
      </x:c>
      <x:c r="B28" s="30" t="str">
        <x:v>Цена, ₽</x:v>
      </x:c>
      <x:c r="C28" s="30" t="str">
        <x:v>Кол-во</x:v>
      </x:c>
      <x:c r="D28" s="30" t="str">
        <x:v>Стоимость, ₽</x:v>
      </x:c>
      <x:c r="E28" s="1"/>
      <x:c r="F28" s="1"/>
      <x:c r="G28" s="1"/>
    </x:row>
    <x:row r="29">
      <x:c r="A29" s="1" t="str">
        <x:v>Ноутбук</x:v>
      </x:c>
      <x:c r="B29" s="28" t="n">
        <x:v>75000</x:v>
      </x:c>
      <x:c r="C29" s="27" t="n">
        <x:v>5</x:v>
      </x:c>
      <x:c r="D29" s="7" t="n">
        <x:f>B29*C29</x:f>
        <x:v>375000</x:v>
      </x:c>
      <x:c r="E29" s="1"/>
      <x:c r="F29" s="1"/>
      <x:c r="G29" s="1"/>
    </x:row>
    <x:row r="30">
      <x:c r="A30" s="1" t="str">
        <x:v>Монитор</x:v>
      </x:c>
      <x:c r="B30" s="28" t="n">
        <x:v>15000</x:v>
      </x:c>
      <x:c r="C30" s="27" t="n">
        <x:v>5</x:v>
      </x:c>
      <x:c r="D30" s="7" t="n">
        <x:f>B30*C30</x:f>
        <x:v>75000</x:v>
      </x:c>
      <x:c r="E30" s="1"/>
      <x:c r="F30" s="1"/>
      <x:c r="G30" s="1"/>
    </x:row>
    <x:row r="31">
      <x:c r="A31" s="1" t="str">
        <x:v>Периферия</x:v>
      </x:c>
      <x:c r="B31" s="28" t="n">
        <x:v>5000</x:v>
      </x:c>
      <x:c r="C31" s="27" t="n">
        <x:v>5</x:v>
      </x:c>
      <x:c r="D31" s="7" t="n">
        <x:f>B31*C31</x:f>
        <x:v>25000</x:v>
      </x:c>
      <x:c r="E31" s="1"/>
      <x:c r="F31" s="1"/>
      <x:c r="G31" s="1"/>
    </x:row>
    <x:row r="32">
      <x:c r="A32" s="1"/>
      <x:c r="B32" s="7"/>
      <x:c r="C32" s="1"/>
      <x:c r="D32" s="7"/>
      <x:c r="E32" s="1"/>
      <x:c r="F32" s="1"/>
      <x:c r="G32" s="1"/>
    </x:row>
    <x:row r="33">
      <x:c r="A33" s="1" t="str">
        <x:v>ПО и сервисы (лимит)</x:v>
      </x:c>
      <x:c r="B33" s="28" t="n">
        <x:v>90000</x:v>
      </x:c>
      <x:c r="C33" s="27" t="n">
        <x:v>1</x:v>
      </x:c>
      <x:c r="D33" s="7" t="n">
        <x:f>B33*C33</x:f>
        <x:v>90000</x:v>
      </x:c>
      <x:c r="E33" s="1"/>
      <x:c r="F33" s="1"/>
      <x:c r="G33" s="1"/>
    </x:row>
    <x:row r="34">
      <x:c r="A34" s="30" t="str">
        <x:v>Маркетинг</x:v>
      </x:c>
      <x:c r="B34" s="31" t="str">
        <x:v>Цена, ₽</x:v>
      </x:c>
      <x:c r="C34" s="30" t="str">
        <x:v>Кол-во</x:v>
      </x:c>
      <x:c r="D34" s="31" t="str">
        <x:v>Стоимость, ₽</x:v>
      </x:c>
      <x:c r="E34" s="1"/>
      <x:c r="F34" s="1"/>
      <x:c r="G34" s="1"/>
    </x:row>
    <x:row r="35">
      <x:c r="A35" s="1" t="str">
        <x:v>Поощрения пилотной группе</x:v>
      </x:c>
      <x:c r="B35" s="28" t="n">
        <x:v>40000</x:v>
      </x:c>
      <x:c r="C35" s="27" t="n">
        <x:v>1</x:v>
      </x:c>
      <x:c r="D35" s="7" t="n">
        <x:f>B35*C35</x:f>
        <x:v>40000</x:v>
      </x:c>
      <x:c r="E35" s="1"/>
      <x:c r="F35" s="1"/>
      <x:c r="G35" s="1"/>
    </x:row>
    <x:row r="36">
      <x:c r="A36" s="1" t="str">
        <x:v>Демо и материалы</x:v>
      </x:c>
      <x:c r="B36" s="28" t="n">
        <x:v>40000</x:v>
      </x:c>
      <x:c r="C36" s="27" t="n">
        <x:v>1</x:v>
      </x:c>
      <x:c r="D36" s="7" t="n">
        <x:f>B36*C36</x:f>
        <x:v>40000</x:v>
      </x:c>
      <x:c r="E36" s="1"/>
      <x:c r="F36" s="1"/>
      <x:c r="G36" s="1"/>
    </x:row>
    <x:row r="37">
      <x:c r="A37" s="1" t="str">
        <x:v>Продвижение</x:v>
      </x:c>
      <x:c r="B37" s="28" t="n">
        <x:v>80000</x:v>
      </x:c>
      <x:c r="C37" s="27" t="n">
        <x:v>1</x:v>
      </x:c>
      <x:c r="D37" s="7" t="n">
        <x:f>B37*C37</x:f>
        <x:v>80000</x:v>
      </x:c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33" t="str">
        <x:v>Допущения</x:v>
      </x:c>
      <x:c r="B39" s="1"/>
      <x:c r="C39" s="1"/>
      <x:c r="D39" s="1"/>
      <x:c r="E39" s="1"/>
      <x:c r="F39" s="1"/>
      <x:c r="G39" s="1"/>
    </x:row>
    <x:row r="40" ht="26" customHeight="1">
      <x:c r="A40" s="34" t="str">
        <x:v>Пять участников работают с неполной загрузкой; 312 чел.-дн. — оценка, а не пять полных ставок.</x:v>
      </x:c>
      <x:c r="B40" s="34"/>
      <x:c r="C40" s="34"/>
      <x:c r="D40" s="34"/>
      <x:c r="E40" s="34"/>
      <x:c r="F40" s="34"/>
      <x:c r="G40" s="34"/>
    </x:row>
    <x:row r="41" ht="26" customHeight="1">
      <x:c r="A41" s="34" t="str">
        <x:v>Календарь: понедельник–пятница, без учёта государственных праздников.</x:v>
      </x:c>
      <x:c r="B41" s="34"/>
      <x:c r="C41" s="34"/>
      <x:c r="D41" s="34"/>
      <x:c r="E41" s="34"/>
      <x:c r="F41" s="34"/>
      <x:c r="G41" s="34"/>
    </x:row>
    <x:row r="42" ht="26" customHeight="1">
      <x:c r="A42" s="34" t="str">
        <x:v>Ставки и расходы — учебные допущения, не коммерческие предложения. Ставки включают начисления.</x:v>
      </x:c>
      <x:c r="B42" s="34"/>
      <x:c r="C42" s="34"/>
      <x:c r="D42" s="34"/>
      <x:c r="E42" s="34"/>
      <x:c r="F42" s="34"/>
      <x:c r="G42" s="34"/>
    </x:row>
    <x:row r="43" ht="26" customHeight="1">
      <x:c r="A43" s="34" t="str">
        <x:v>Проект развивает существующий прототип; полное соответствие стандартам не заявляется.</x:v>
      </x:c>
      <x:c r="B43" s="34"/>
      <x:c r="C43" s="34"/>
      <x:c r="D43" s="34"/>
      <x:c r="E43" s="34"/>
      <x:c r="F43" s="34"/>
      <x:c r="G43" s="34"/>
    </x:row>
  </x:sheetData>
  <x:mergeCells>
    <x:mergeCell ref="A40:G40"/>
    <x:mergeCell ref="A41:G41"/>
    <x:mergeCell ref="A42:G42"/>
    <x:mergeCell ref="A43:G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8" hidden="0" customWidth="1"/>
  </x:cols>
  <x:sheetData>
    <x:row r="1" ht="34" customHeight="1">
      <x:c r="A1" s="11" t="str">
        <x:v>WBS</x:v>
      </x:c>
      <x:c r="B1" s="11" t="str">
        <x:v>Операция</x:v>
      </x:c>
      <x:c r="C1" s="11" t="str">
        <x:v>Начало</x:v>
      </x:c>
      <x:c r="D1" s="11" t="str">
        <x:v>Окончание</x:v>
      </x:c>
      <x:c r="E1" s="11" t="str">
        <x:v>Рабочие дни</x:v>
      </x:c>
      <x:c r="F1" s="11" t="str">
        <x:v>Исполнитель</x:v>
      </x:c>
      <x:c r="G1" s="11" t="str">
        <x:v>Трудозатраты, чел.-дн.</x:v>
      </x:c>
      <x:c r="H1" s="11" t="str">
        <x:v>Ставка, ₽/день</x:v>
      </x:c>
      <x:c r="I1" s="11" t="str">
        <x:v>Стоимость труда, ₽</x:v>
      </x:c>
      <x:c r="J1" s="11" t="str">
        <x:v>Предшественник / связь</x:v>
      </x:c>
      <x:c r="K1" s="11" t="str">
        <x:v>Этап</x:v>
      </x:c>
    </x:row>
    <x:row r="2" ht="24" customHeight="1">
      <x:c r="A2" s="12" t="str">
        <x:v>1.1.1</x:v>
      </x:c>
      <x:c r="B2" s="12" t="str">
        <x:v>Старт проекта и критерии успеха</x:v>
      </x:c>
      <x:c r="C2" s="13" t="n">
        <x:v>46328</x:v>
      </x:c>
      <x:c r="D2" s="13" t="n">
        <x:v>46332</x:v>
      </x:c>
      <x:c r="E2" s="14" t="n">
        <x:v>5</x:v>
      </x:c>
      <x:c r="F2" s="12" t="str">
        <x:v>РП</x:v>
      </x:c>
      <x:c r="G2" s="14" t="n">
        <x:v>3</x:v>
      </x:c>
      <x:c r="H2" s="15" t="n">
        <x:f>VLOOKUP(F2,'Паспорт'!$D$7:$E$11,2,FALSE)</x:f>
        <x:v>8000</x:v>
      </x:c>
      <x:c r="I2" s="15" t="n">
        <x:f>G2*H2</x:f>
        <x:v>24000</x:v>
      </x:c>
      <x:c r="J2" s="12" t="str">
        <x:v>—</x:v>
      </x:c>
      <x:c r="K2" s="12" t="n">
        <x:v>1</x:v>
      </x:c>
    </x:row>
    <x:row r="3" ht="24" customHeight="1">
      <x:c r="A3" s="12" t="str">
        <x:v>1.1.2</x:v>
      </x:c>
      <x:c r="B3" s="12" t="str">
        <x:v>Аудит текущей версии OmniNotation</x:v>
      </x:c>
      <x:c r="C3" s="13" t="n">
        <x:v>46328</x:v>
      </x:c>
      <x:c r="D3" s="13" t="n">
        <x:v>46339</x:v>
      </x:c>
      <x:c r="E3" s="14" t="n">
        <x:v>10</x:v>
      </x:c>
      <x:c r="F3" s="12" t="str">
        <x:v>АР</x:v>
      </x:c>
      <x:c r="G3" s="14" t="n">
        <x:v>5</x:v>
      </x:c>
      <x:c r="H3" s="15" t="n">
        <x:f>VLOOKUP(F3,'Паспорт'!$D$7:$E$11,2,FALSE)</x:f>
        <x:v>10000</x:v>
      </x:c>
      <x:c r="I3" s="15" t="n">
        <x:f>G3*H3</x:f>
        <x:v>50000</x:v>
      </x:c>
      <x:c r="J3" s="12" t="str">
        <x:v>1.1.1 SS</x:v>
      </x:c>
      <x:c r="K3" s="12" t="n">
        <x:v>1</x:v>
      </x:c>
    </x:row>
    <x:row r="4" ht="24" customHeight="1">
      <x:c r="A4" s="12" t="str">
        <x:v>1.1.3</x:v>
      </x:c>
      <x:c r="B4" s="12" t="str">
        <x:v>Интервью и сегменты пользователей</x:v>
      </x:c>
      <x:c r="C4" s="13" t="n">
        <x:v>46335</x:v>
      </x:c>
      <x:c r="D4" s="13" t="n">
        <x:v>46346</x:v>
      </x:c>
      <x:c r="E4" s="14" t="n">
        <x:v>10</x:v>
      </x:c>
      <x:c r="F4" s="12" t="str">
        <x:v>МК</x:v>
      </x:c>
      <x:c r="G4" s="14" t="n">
        <x:v>7</x:v>
      </x:c>
      <x:c r="H4" s="15" t="n">
        <x:f>VLOOKUP(F4,'Паспорт'!$D$7:$E$11,2,FALSE)</x:f>
        <x:v>7000</x:v>
      </x:c>
      <x:c r="I4" s="15" t="n">
        <x:f>G4*H4</x:f>
        <x:v>49000</x:v>
      </x:c>
      <x:c r="J4" s="12" t="str">
        <x:v>1.1.1 FS</x:v>
      </x:c>
      <x:c r="K4" s="12" t="n">
        <x:v>1</x:v>
      </x:c>
    </x:row>
    <x:row r="5" ht="24" customHeight="1">
      <x:c r="A5" s="12" t="str">
        <x:v>1.2.1</x:v>
      </x:c>
      <x:c r="B5" s="12" t="str">
        <x:v>Анализ альтернатив и позиционирования</x:v>
      </x:c>
      <x:c r="C5" s="13" t="n">
        <x:v>46342</x:v>
      </x:c>
      <x:c r="D5" s="13" t="n">
        <x:v>46353</x:v>
      </x:c>
      <x:c r="E5" s="14" t="n">
        <x:v>10</x:v>
      </x:c>
      <x:c r="F5" s="12" t="str">
        <x:v>МК</x:v>
      </x:c>
      <x:c r="G5" s="14" t="n">
        <x:v>3</x:v>
      </x:c>
      <x:c r="H5" s="15" t="n">
        <x:f>VLOOKUP(F5,'Паспорт'!$D$7:$E$11,2,FALSE)</x:f>
        <x:v>7000</x:v>
      </x:c>
      <x:c r="I5" s="15" t="n">
        <x:f>G5*H5</x:f>
        <x:v>21000</x:v>
      </x:c>
      <x:c r="J5" s="12" t="str">
        <x:v>1.1.3 SS</x:v>
      </x:c>
      <x:c r="K5" s="12" t="n">
        <x:v>1</x:v>
      </x:c>
    </x:row>
    <x:row r="6" ht="24" customHeight="1">
      <x:c r="A6" s="12" t="str">
        <x:v>1.2.2</x:v>
      </x:c>
      <x:c r="B6" s="12" t="str">
        <x:v>Концепция, границы и KPI</x:v>
      </x:c>
      <x:c r="C6" s="13" t="n">
        <x:v>46356</x:v>
      </x:c>
      <x:c r="D6" s="13" t="n">
        <x:v>46360</x:v>
      </x:c>
      <x:c r="E6" s="14" t="n">
        <x:v>5</x:v>
      </x:c>
      <x:c r="F6" s="12" t="str">
        <x:v>РП</x:v>
      </x:c>
      <x:c r="G6" s="14" t="n">
        <x:v>4</x:v>
      </x:c>
      <x:c r="H6" s="15" t="n">
        <x:f>VLOOKUP(F6,'Паспорт'!$D$7:$E$11,2,FALSE)</x:f>
        <x:v>8000</x:v>
      </x:c>
      <x:c r="I6" s="15" t="n">
        <x:f>G6*H6</x:f>
        <x:v>32000</x:v>
      </x:c>
      <x:c r="J6" s="12" t="str">
        <x:v>1.2.1 FS</x:v>
      </x:c>
      <x:c r="K6" s="12" t="n">
        <x:v>1</x:v>
      </x:c>
    </x:row>
    <x:row r="7" ht="24" customHeight="1">
      <x:c r="A7" s="12" t="str">
        <x:v>2.1.1</x:v>
      </x:c>
      <x:c r="B7" s="12" t="str">
        <x:v>Сценарии применения DFD/IDEF0/BPMN/UML</x:v>
      </x:c>
      <x:c r="C7" s="13" t="n">
        <x:v>46363</x:v>
      </x:c>
      <x:c r="D7" s="13" t="n">
        <x:v>46374</x:v>
      </x:c>
      <x:c r="E7" s="14" t="n">
        <x:v>10</x:v>
      </x:c>
      <x:c r="F7" s="12" t="str">
        <x:v>РП</x:v>
      </x:c>
      <x:c r="G7" s="14" t="n">
        <x:v>6</x:v>
      </x:c>
      <x:c r="H7" s="15" t="n">
        <x:f>VLOOKUP(F7,'Паспорт'!$D$7:$E$11,2,FALSE)</x:f>
        <x:v>8000</x:v>
      </x:c>
      <x:c r="I7" s="15" t="n">
        <x:f>G7*H7</x:f>
        <x:v>48000</x:v>
      </x:c>
      <x:c r="J7" s="12" t="str">
        <x:v>1.2.2 FS</x:v>
      </x:c>
      <x:c r="K7" s="12" t="n">
        <x:v>2</x:v>
      </x:c>
    </x:row>
    <x:row r="8" ht="24" customHeight="1">
      <x:c r="A8" s="12" t="str">
        <x:v>2.1.2</x:v>
      </x:c>
      <x:c r="B8" s="12" t="str">
        <x:v>Функциональные требования</x:v>
      </x:c>
      <x:c r="C8" s="13" t="n">
        <x:v>46370</x:v>
      </x:c>
      <x:c r="D8" s="13" t="n">
        <x:v>46395</x:v>
      </x:c>
      <x:c r="E8" s="14" t="n">
        <x:v>20</x:v>
      </x:c>
      <x:c r="F8" s="12" t="str">
        <x:v>РП</x:v>
      </x:c>
      <x:c r="G8" s="14" t="n">
        <x:v>8</x:v>
      </x:c>
      <x:c r="H8" s="15" t="n">
        <x:f>VLOOKUP(F8,'Паспорт'!$D$7:$E$11,2,FALSE)</x:f>
        <x:v>8000</x:v>
      </x:c>
      <x:c r="I8" s="15" t="n">
        <x:f>G8*H8</x:f>
        <x:v>64000</x:v>
      </x:c>
      <x:c r="J8" s="12" t="str">
        <x:v>2.1.1 SS</x:v>
      </x:c>
      <x:c r="K8" s="12" t="n">
        <x:v>2</x:v>
      </x:c>
    </x:row>
    <x:row r="9" ht="24" customHeight="1">
      <x:c r="A9" s="12" t="str">
        <x:v>2.1.3</x:v>
      </x:c>
      <x:c r="B9" s="12" t="str">
        <x:v>Профили нотаций и критерии приёмки</x:v>
      </x:c>
      <x:c r="C9" s="13" t="n">
        <x:v>46377</x:v>
      </x:c>
      <x:c r="D9" s="13" t="n">
        <x:v>46395</x:v>
      </x:c>
      <x:c r="E9" s="14" t="n">
        <x:v>15</x:v>
      </x:c>
      <x:c r="F9" s="12" t="str">
        <x:v>ИН</x:v>
      </x:c>
      <x:c r="G9" s="14" t="n">
        <x:v>9</x:v>
      </x:c>
      <x:c r="H9" s="15" t="n">
        <x:f>VLOOKUP(F9,'Паспорт'!$D$7:$E$11,2,FALSE)</x:f>
        <x:v>9000</x:v>
      </x:c>
      <x:c r="I9" s="15" t="n">
        <x:f>G9*H9</x:f>
        <x:v>81000</x:v>
      </x:c>
      <x:c r="J9" s="12" t="str">
        <x:v>2.1.2 SS</x:v>
      </x:c>
      <x:c r="K9" s="12" t="n">
        <x:v>2</x:v>
      </x:c>
    </x:row>
    <x:row r="10" ht="24" customHeight="1">
      <x:c r="A10" s="12" t="str">
        <x:v>2.2.1</x:v>
      </x:c>
      <x:c r="B10" s="12" t="str">
        <x:v>Прототипы сценариев и интерфейса</x:v>
      </x:c>
      <x:c r="C10" s="13" t="n">
        <x:v>46370</x:v>
      </x:c>
      <x:c r="D10" s="13" t="n">
        <x:v>46395</x:v>
      </x:c>
      <x:c r="E10" s="14" t="n">
        <x:v>20</x:v>
      </x:c>
      <x:c r="F10" s="12" t="str">
        <x:v>UX</x:v>
      </x:c>
      <x:c r="G10" s="14" t="n">
        <x:v>12</x:v>
      </x:c>
      <x:c r="H10" s="15" t="n">
        <x:f>VLOOKUP(F10,'Паспорт'!$D$7:$E$11,2,FALSE)</x:f>
        <x:v>7000</x:v>
      </x:c>
      <x:c r="I10" s="15" t="n">
        <x:f>G10*H10</x:f>
        <x:v>84000</x:v>
      </x:c>
      <x:c r="J10" s="12" t="str">
        <x:v>2.1.1 SS</x:v>
      </x:c>
      <x:c r="K10" s="12" t="n">
        <x:v>2</x:v>
      </x:c>
    </x:row>
    <x:row r="11" ht="24" customHeight="1">
      <x:c r="A11" s="12" t="str">
        <x:v>2.2.2</x:v>
      </x:c>
      <x:c r="B11" s="12" t="str">
        <x:v>Приоритетный бэклог и оценки</x:v>
      </x:c>
      <x:c r="C11" s="13" t="n">
        <x:v>46398</x:v>
      </x:c>
      <x:c r="D11" s="13" t="n">
        <x:v>46409</x:v>
      </x:c>
      <x:c r="E11" s="14" t="n">
        <x:v>10</x:v>
      </x:c>
      <x:c r="F11" s="12" t="str">
        <x:v>РП</x:v>
      </x:c>
      <x:c r="G11" s="14" t="n">
        <x:v>7</x:v>
      </x:c>
      <x:c r="H11" s="15" t="n">
        <x:f>VLOOKUP(F11,'Паспорт'!$D$7:$E$11,2,FALSE)</x:f>
        <x:v>8000</x:v>
      </x:c>
      <x:c r="I11" s="15" t="n">
        <x:f>G11*H11</x:f>
        <x:v>56000</x:v>
      </x:c>
      <x:c r="J11" s="12" t="str">
        <x:v>2.1.3 FS</x:v>
      </x:c>
      <x:c r="K11" s="12" t="n">
        <x:v>2</x:v>
      </x:c>
    </x:row>
    <x:row r="12" ht="24" customHeight="1">
      <x:c r="A12" s="12" t="str">
        <x:v>3.1.1</x:v>
      </x:c>
      <x:c r="B12" s="12" t="str">
        <x:v>Уточнение архитектуры модулей</x:v>
      </x:c>
      <x:c r="C12" s="13" t="n">
        <x:v>46412</x:v>
      </x:c>
      <x:c r="D12" s="13" t="n">
        <x:v>46430</x:v>
      </x:c>
      <x:c r="E12" s="14" t="n">
        <x:v>15</x:v>
      </x:c>
      <x:c r="F12" s="12" t="str">
        <x:v>АР</x:v>
      </x:c>
      <x:c r="G12" s="14" t="n">
        <x:v>10</x:v>
      </x:c>
      <x:c r="H12" s="15" t="n">
        <x:f>VLOOKUP(F12,'Паспорт'!$D$7:$E$11,2,FALSE)</x:f>
        <x:v>10000</x:v>
      </x:c>
      <x:c r="I12" s="15" t="n">
        <x:f>G12*H12</x:f>
        <x:v>100000</x:v>
      </x:c>
      <x:c r="J12" s="12" t="str">
        <x:v>2.2.2 FS</x:v>
      </x:c>
      <x:c r="K12" s="12" t="n">
        <x:v>3</x:v>
      </x:c>
    </x:row>
    <x:row r="13" ht="24" customHeight="1">
      <x:c r="A13" s="12" t="str">
        <x:v>3.1.2</x:v>
      </x:c>
      <x:c r="B13" s="12" t="str">
        <x:v>Общий хост и реестр адаптеров</x:v>
      </x:c>
      <x:c r="C13" s="13" t="n">
        <x:v>46419</x:v>
      </x:c>
      <x:c r="D13" s="13" t="n">
        <x:v>46437</x:v>
      </x:c>
      <x:c r="E13" s="14" t="n">
        <x:v>15</x:v>
      </x:c>
      <x:c r="F13" s="12" t="str">
        <x:v>АР</x:v>
      </x:c>
      <x:c r="G13" s="14" t="n">
        <x:v>5</x:v>
      </x:c>
      <x:c r="H13" s="15" t="n">
        <x:f>VLOOKUP(F13,'Паспорт'!$D$7:$E$11,2,FALSE)</x:f>
        <x:v>10000</x:v>
      </x:c>
      <x:c r="I13" s="15" t="n">
        <x:f>G13*H13</x:f>
        <x:v>50000</x:v>
      </x:c>
      <x:c r="J13" s="12" t="str">
        <x:v>3.1.1 SS</x:v>
      </x:c>
      <x:c r="K13" s="12" t="n">
        <x:v>3</x:v>
      </x:c>
    </x:row>
    <x:row r="14" ht="24" customHeight="1">
      <x:c r="A14" s="12" t="str">
        <x:v>3.1.3</x:v>
      </x:c>
      <x:c r="B14" s="12" t="str">
        <x:v>Общий язык и синхронизация модели</x:v>
      </x:c>
      <x:c r="C14" s="13" t="n">
        <x:v>46433</x:v>
      </x:c>
      <x:c r="D14" s="13" t="n">
        <x:v>46444</x:v>
      </x:c>
      <x:c r="E14" s="14" t="n">
        <x:v>10</x:v>
      </x:c>
      <x:c r="F14" s="12" t="str">
        <x:v>ИН</x:v>
      </x:c>
      <x:c r="G14" s="14" t="n">
        <x:v>7</x:v>
      </x:c>
      <x:c r="H14" s="15" t="n">
        <x:f>VLOOKUP(F14,'Паспорт'!$D$7:$E$11,2,FALSE)</x:f>
        <x:v>9000</x:v>
      </x:c>
      <x:c r="I14" s="15" t="n">
        <x:f>G14*H14</x:f>
        <x:v>63000</x:v>
      </x:c>
      <x:c r="J14" s="12" t="str">
        <x:v>3.1.1 FS</x:v>
      </x:c>
      <x:c r="K14" s="12" t="n">
        <x:v>3</x:v>
      </x:c>
    </x:row>
    <x:row r="15" ht="24" customHeight="1">
      <x:c r="A15" s="12" t="str">
        <x:v>3.2.1</x:v>
      </x:c>
      <x:c r="B15" s="12" t="str">
        <x:v>Сохранение, черновики и восстановление</x:v>
      </x:c>
      <x:c r="C15" s="13" t="n">
        <x:v>46440</x:v>
      </x:c>
      <x:c r="D15" s="13" t="n">
        <x:v>46465</x:v>
      </x:c>
      <x:c r="E15" s="14" t="n">
        <x:v>20</x:v>
      </x:c>
      <x:c r="F15" s="12" t="str">
        <x:v>АР</x:v>
      </x:c>
      <x:c r="G15" s="14" t="n">
        <x:v>12</x:v>
      </x:c>
      <x:c r="H15" s="15" t="n">
        <x:f>VLOOKUP(F15,'Паспорт'!$D$7:$E$11,2,FALSE)</x:f>
        <x:v>10000</x:v>
      </x:c>
      <x:c r="I15" s="15" t="n">
        <x:f>G15*H15</x:f>
        <x:v>120000</x:v>
      </x:c>
      <x:c r="J15" s="12" t="str">
        <x:v>3.1.2 FS</x:v>
      </x:c>
      <x:c r="K15" s="12" t="n">
        <x:v>3</x:v>
      </x:c>
    </x:row>
    <x:row r="16" ht="24" customHeight="1">
      <x:c r="A16" s="12" t="str">
        <x:v>3.2.2</x:v>
      </x:c>
      <x:c r="B16" s="12" t="str">
        <x:v>Единый интерфейс редактора</x:v>
      </x:c>
      <x:c r="C16" s="13" t="n">
        <x:v>46440</x:v>
      </x:c>
      <x:c r="D16" s="13" t="n">
        <x:v>46465</x:v>
      </x:c>
      <x:c r="E16" s="14" t="n">
        <x:v>20</x:v>
      </x:c>
      <x:c r="F16" s="12" t="str">
        <x:v>UX</x:v>
      </x:c>
      <x:c r="G16" s="14" t="n">
        <x:v>12</x:v>
      </x:c>
      <x:c r="H16" s="15" t="n">
        <x:f>VLOOKUP(F16,'Паспорт'!$D$7:$E$11,2,FALSE)</x:f>
        <x:v>7000</x:v>
      </x:c>
      <x:c r="I16" s="15" t="n">
        <x:f>G16*H16</x:f>
        <x:v>84000</x:v>
      </x:c>
      <x:c r="J16" s="12" t="str">
        <x:v>3.1.2 FS</x:v>
      </x:c>
      <x:c r="K16" s="12" t="n">
        <x:v>3</x:v>
      </x:c>
    </x:row>
    <x:row r="17" ht="24" customHeight="1">
      <x:c r="A17" s="12" t="str">
        <x:v>3.2.3</x:v>
      </x:c>
      <x:c r="B17" s="12" t="str">
        <x:v>Экспорт и выпускные сборки</x:v>
      </x:c>
      <x:c r="C17" s="13" t="n">
        <x:v>46468</x:v>
      </x:c>
      <x:c r="D17" s="13" t="n">
        <x:v>46486</x:v>
      </x:c>
      <x:c r="E17" s="14" t="n">
        <x:v>15</x:v>
      </x:c>
      <x:c r="F17" s="12" t="str">
        <x:v>АР</x:v>
      </x:c>
      <x:c r="G17" s="14" t="n">
        <x:v>9</x:v>
      </x:c>
      <x:c r="H17" s="15" t="n">
        <x:f>VLOOKUP(F17,'Паспорт'!$D$7:$E$11,2,FALSE)</x:f>
        <x:v>10000</x:v>
      </x:c>
      <x:c r="I17" s="15" t="n">
        <x:f>G17*H17</x:f>
        <x:v>90000</x:v>
      </x:c>
      <x:c r="J17" s="12" t="str">
        <x:v>3.2.1 FS</x:v>
      </x:c>
      <x:c r="K17" s="12" t="n">
        <x:v>3</x:v>
      </x:c>
    </x:row>
    <x:row r="18" ht="24" customHeight="1">
      <x:c r="A18" s="12" t="str">
        <x:v>4.1.1</x:v>
      </x:c>
      <x:c r="B18" s="12" t="str">
        <x:v>Доработка DFD</x:v>
      </x:c>
      <x:c r="C18" s="13" t="n">
        <x:v>46447</x:v>
      </x:c>
      <x:c r="D18" s="13" t="n">
        <x:v>46465</x:v>
      </x:c>
      <x:c r="E18" s="14" t="n">
        <x:v>15</x:v>
      </x:c>
      <x:c r="F18" s="12" t="str">
        <x:v>ИН</x:v>
      </x:c>
      <x:c r="G18" s="14" t="n">
        <x:v>11</x:v>
      </x:c>
      <x:c r="H18" s="15" t="n">
        <x:f>VLOOKUP(F18,'Паспорт'!$D$7:$E$11,2,FALSE)</x:f>
        <x:v>9000</x:v>
      </x:c>
      <x:c r="I18" s="15" t="n">
        <x:f>G18*H18</x:f>
        <x:v>99000</x:v>
      </x:c>
      <x:c r="J18" s="12" t="str">
        <x:v>3.1.3 FS</x:v>
      </x:c>
      <x:c r="K18" s="12" t="n">
        <x:v>4</x:v>
      </x:c>
    </x:row>
    <x:row r="19" ht="24" customHeight="1">
      <x:c r="A19" s="12" t="str">
        <x:v>4.1.2</x:v>
      </x:c>
      <x:c r="B19" s="12" t="str">
        <x:v>Доработка IDEF0</x:v>
      </x:c>
      <x:c r="C19" s="13" t="n">
        <x:v>46468</x:v>
      </x:c>
      <x:c r="D19" s="13" t="n">
        <x:v>46493</x:v>
      </x:c>
      <x:c r="E19" s="14" t="n">
        <x:v>20</x:v>
      </x:c>
      <x:c r="F19" s="12" t="str">
        <x:v>ИН</x:v>
      </x:c>
      <x:c r="G19" s="14" t="n">
        <x:v>13</x:v>
      </x:c>
      <x:c r="H19" s="15" t="n">
        <x:f>VLOOKUP(F19,'Паспорт'!$D$7:$E$11,2,FALSE)</x:f>
        <x:v>9000</x:v>
      </x:c>
      <x:c r="I19" s="15" t="n">
        <x:f>G19*H19</x:f>
        <x:v>117000</x:v>
      </x:c>
      <x:c r="J19" s="12" t="str">
        <x:v>4.1.1 FS</x:v>
      </x:c>
      <x:c r="K19" s="12" t="n">
        <x:v>4</x:v>
      </x:c>
    </x:row>
    <x:row r="20" ht="24" customHeight="1">
      <x:c r="A20" s="12" t="str">
        <x:v>4.1.3</x:v>
      </x:c>
      <x:c r="B20" s="12" t="str">
        <x:v>Доработка графического BPMN</x:v>
      </x:c>
      <x:c r="C20" s="13" t="n">
        <x:v>46447</x:v>
      </x:c>
      <x:c r="D20" s="13" t="n">
        <x:v>46472</x:v>
      </x:c>
      <x:c r="E20" s="14" t="n">
        <x:v>20</x:v>
      </x:c>
      <x:c r="F20" s="12" t="str">
        <x:v>АР</x:v>
      </x:c>
      <x:c r="G20" s="14" t="n">
        <x:v>8</x:v>
      </x:c>
      <x:c r="H20" s="15" t="n">
        <x:f>VLOOKUP(F20,'Паспорт'!$D$7:$E$11,2,FALSE)</x:f>
        <x:v>10000</x:v>
      </x:c>
      <x:c r="I20" s="15" t="n">
        <x:f>G20*H20</x:f>
        <x:v>80000</x:v>
      </x:c>
      <x:c r="J20" s="12" t="str">
        <x:v>3.1.2 FS</x:v>
      </x:c>
      <x:c r="K20" s="12" t="n">
        <x:v>4</x:v>
      </x:c>
    </x:row>
    <x:row r="21" ht="24" customHeight="1">
      <x:c r="A21" s="12" t="str">
        <x:v>4.1.4</x:v>
      </x:c>
      <x:c r="B21" s="12" t="str">
        <x:v>Семантические правила BPMN</x:v>
      </x:c>
      <x:c r="C21" s="13" t="n">
        <x:v>46475</x:v>
      </x:c>
      <x:c r="D21" s="13" t="n">
        <x:v>46507</x:v>
      </x:c>
      <x:c r="E21" s="14" t="n">
        <x:v>25</x:v>
      </x:c>
      <x:c r="F21" s="12" t="str">
        <x:v>ИН</x:v>
      </x:c>
      <x:c r="G21" s="14" t="n">
        <x:v>8</x:v>
      </x:c>
      <x:c r="H21" s="15" t="n">
        <x:f>VLOOKUP(F21,'Паспорт'!$D$7:$E$11,2,FALSE)</x:f>
        <x:v>9000</x:v>
      </x:c>
      <x:c r="I21" s="15" t="n">
        <x:f>G21*H21</x:f>
        <x:v>72000</x:v>
      </x:c>
      <x:c r="J21" s="12" t="str">
        <x:v>4.1.3 FS</x:v>
      </x:c>
      <x:c r="K21" s="12" t="n">
        <x:v>4</x:v>
      </x:c>
    </x:row>
    <x:row r="22" ht="24" customHeight="1">
      <x:c r="A22" s="12" t="str">
        <x:v>4.2.1</x:v>
      </x:c>
      <x:c r="B22" s="12" t="str">
        <x:v>Доработка UML-профилей</x:v>
      </x:c>
      <x:c r="C22" s="13" t="n">
        <x:v>46496</x:v>
      </x:c>
      <x:c r="D22" s="13" t="n">
        <x:v>46521</x:v>
      </x:c>
      <x:c r="E22" s="14" t="n">
        <x:v>20</x:v>
      </x:c>
      <x:c r="F22" s="12" t="str">
        <x:v>ИН</x:v>
      </x:c>
      <x:c r="G22" s="14" t="n">
        <x:v>12</x:v>
      </x:c>
      <x:c r="H22" s="15" t="n">
        <x:f>VLOOKUP(F22,'Паспорт'!$D$7:$E$11,2,FALSE)</x:f>
        <x:v>9000</x:v>
      </x:c>
      <x:c r="I22" s="15" t="n">
        <x:f>G22*H22</x:f>
        <x:v>108000</x:v>
      </x:c>
      <x:c r="J22" s="12" t="str">
        <x:v>4.1.2 FS</x:v>
      </x:c>
      <x:c r="K22" s="12" t="n">
        <x:v>4</x:v>
      </x:c>
    </x:row>
    <x:row r="23" ht="24" customHeight="1">
      <x:c r="A23" s="12" t="str">
        <x:v>4.2.2</x:v>
      </x:c>
      <x:c r="B23" s="12" t="str">
        <x:v>Проверка text ↔ diagram round-trip</x:v>
      </x:c>
      <x:c r="C23" s="13" t="n">
        <x:v>46489</x:v>
      </x:c>
      <x:c r="D23" s="13" t="n">
        <x:v>46514</x:v>
      </x:c>
      <x:c r="E23" s="14" t="n">
        <x:v>20</x:v>
      </x:c>
      <x:c r="F23" s="12" t="str">
        <x:v>АР</x:v>
      </x:c>
      <x:c r="G23" s="14" t="n">
        <x:v>14</x:v>
      </x:c>
      <x:c r="H23" s="15" t="n">
        <x:f>VLOOKUP(F23,'Паспорт'!$D$7:$E$11,2,FALSE)</x:f>
        <x:v>10000</x:v>
      </x:c>
      <x:c r="I23" s="15" t="n">
        <x:f>G23*H23</x:f>
        <x:v>140000</x:v>
      </x:c>
      <x:c r="J23" s="12" t="str">
        <x:v>3.2.3 FS</x:v>
      </x:c>
      <x:c r="K23" s="12" t="n">
        <x:v>4</x:v>
      </x:c>
    </x:row>
    <x:row r="24" ht="24" customHeight="1">
      <x:c r="A24" s="12" t="str">
        <x:v>4.2.3</x:v>
      </x:c>
      <x:c r="B24" s="12" t="str">
        <x:v>Библиотека примеров и шаблонов</x:v>
      </x:c>
      <x:c r="C24" s="13" t="n">
        <x:v>46510</x:v>
      </x:c>
      <x:c r="D24" s="13" t="n">
        <x:v>46528</x:v>
      </x:c>
      <x:c r="E24" s="14" t="n">
        <x:v>15</x:v>
      </x:c>
      <x:c r="F24" s="12" t="str">
        <x:v>UX</x:v>
      </x:c>
      <x:c r="G24" s="14" t="n">
        <x:v>8</x:v>
      </x:c>
      <x:c r="H24" s="15" t="n">
        <x:f>VLOOKUP(F24,'Паспорт'!$D$7:$E$11,2,FALSE)</x:f>
        <x:v>7000</x:v>
      </x:c>
      <x:c r="I24" s="15" t="n">
        <x:f>G24*H24</x:f>
        <x:v>56000</x:v>
      </x:c>
      <x:c r="J24" s="12" t="str">
        <x:v>4.1.4 FS</x:v>
      </x:c>
      <x:c r="K24" s="12" t="n">
        <x:v>4</x:v>
      </x:c>
    </x:row>
    <x:row r="25" ht="24" customHeight="1">
      <x:c r="A25" s="12" t="str">
        <x:v>4.2.4</x:v>
      </x:c>
      <x:c r="B25" s="12" t="str">
        <x:v>Интеграция и исправление дефектов</x:v>
      </x:c>
      <x:c r="C25" s="13" t="n">
        <x:v>46524</x:v>
      </x:c>
      <x:c r="D25" s="13" t="n">
        <x:v>46535</x:v>
      </x:c>
      <x:c r="E25" s="14" t="n">
        <x:v>10</x:v>
      </x:c>
      <x:c r="F25" s="12" t="str">
        <x:v>ИН</x:v>
      </x:c>
      <x:c r="G25" s="14" t="n">
        <x:v>7</x:v>
      </x:c>
      <x:c r="H25" s="15" t="n">
        <x:f>VLOOKUP(F25,'Паспорт'!$D$7:$E$11,2,FALSE)</x:f>
        <x:v>9000</x:v>
      </x:c>
      <x:c r="I25" s="15" t="n">
        <x:f>G25*H25</x:f>
        <x:v>63000</x:v>
      </x:c>
      <x:c r="J25" s="12" t="str">
        <x:v>4.2.1 FS</x:v>
      </x:c>
      <x:c r="K25" s="12" t="n">
        <x:v>4</x:v>
      </x:c>
    </x:row>
    <x:row r="26" ht="24" customHeight="1">
      <x:c r="A26" s="12" t="str">
        <x:v>5.1.1</x:v>
      </x:c>
      <x:c r="B26" s="12" t="str">
        <x:v>Сценарии ручной проверки</x:v>
      </x:c>
      <x:c r="C26" s="13" t="n">
        <x:v>46489</x:v>
      </x:c>
      <x:c r="D26" s="13" t="n">
        <x:v>46507</x:v>
      </x:c>
      <x:c r="E26" s="14" t="n">
        <x:v>15</x:v>
      </x:c>
      <x:c r="F26" s="12" t="str">
        <x:v>МК</x:v>
      </x:c>
      <x:c r="G26" s="14" t="n">
        <x:v>7</x:v>
      </x:c>
      <x:c r="H26" s="15" t="n">
        <x:f>VLOOKUP(F26,'Паспорт'!$D$7:$E$11,2,FALSE)</x:f>
        <x:v>7000</x:v>
      </x:c>
      <x:c r="I26" s="15" t="n">
        <x:f>G26*H26</x:f>
        <x:v>49000</x:v>
      </x:c>
      <x:c r="J26" s="12" t="str">
        <x:v>4.1.3 FS</x:v>
      </x:c>
      <x:c r="K26" s="12" t="n">
        <x:v>5</x:v>
      </x:c>
    </x:row>
    <x:row r="27" ht="24" customHeight="1">
      <x:c r="A27" s="12" t="str">
        <x:v>5.1.2</x:v>
      </x:c>
      <x:c r="B27" s="12" t="str">
        <x:v>Ручная приёмка и пилотная проверка</x:v>
      </x:c>
      <x:c r="C27" s="13" t="n">
        <x:v>46538</x:v>
      </x:c>
      <x:c r="D27" s="13" t="n">
        <x:v>46549</x:v>
      </x:c>
      <x:c r="E27" s="14" t="n">
        <x:v>10</x:v>
      </x:c>
      <x:c r="F27" s="12" t="str">
        <x:v>РП</x:v>
      </x:c>
      <x:c r="G27" s="14" t="n">
        <x:v>7</x:v>
      </x:c>
      <x:c r="H27" s="15" t="n">
        <x:f>VLOOKUP(F27,'Паспорт'!$D$7:$E$11,2,FALSE)</x:f>
        <x:v>8000</x:v>
      </x:c>
      <x:c r="I27" s="15" t="n">
        <x:f>G27*H27</x:f>
        <x:v>56000</x:v>
      </x:c>
      <x:c r="J27" s="12" t="str">
        <x:v>4.2.4 FS</x:v>
      </x:c>
      <x:c r="K27" s="12" t="n">
        <x:v>5</x:v>
      </x:c>
    </x:row>
    <x:row r="28" ht="24" customHeight="1">
      <x:c r="A28" s="12" t="str">
        <x:v>5.1.3</x:v>
      </x:c>
      <x:c r="B28" s="12" t="str">
        <x:v>Устойчивость и производительность</x:v>
      </x:c>
      <x:c r="C28" s="13" t="n">
        <x:v>46531</x:v>
      </x:c>
      <x:c r="D28" s="13" t="n">
        <x:v>46549</x:v>
      </x:c>
      <x:c r="E28" s="14" t="n">
        <x:v>15</x:v>
      </x:c>
      <x:c r="F28" s="12" t="str">
        <x:v>АР</x:v>
      </x:c>
      <x:c r="G28" s="14" t="n">
        <x:v>11</x:v>
      </x:c>
      <x:c r="H28" s="15" t="n">
        <x:f>VLOOKUP(F28,'Паспорт'!$D$7:$E$11,2,FALSE)</x:f>
        <x:v>10000</x:v>
      </x:c>
      <x:c r="I28" s="15" t="n">
        <x:f>G28*H28</x:f>
        <x:v>110000</x:v>
      </x:c>
      <x:c r="J28" s="12" t="str">
        <x:v>4.2.2 FS</x:v>
      </x:c>
      <x:c r="K28" s="12" t="n">
        <x:v>5</x:v>
      </x:c>
    </x:row>
    <x:row r="29" ht="24" customHeight="1">
      <x:c r="A29" s="12" t="str">
        <x:v>5.2.1</x:v>
      </x:c>
      <x:c r="B29" s="12" t="str">
        <x:v>Кандидат выпуска</x:v>
      </x:c>
      <x:c r="C29" s="13" t="n">
        <x:v>46552</x:v>
      </x:c>
      <x:c r="D29" s="13" t="n">
        <x:v>46556</x:v>
      </x:c>
      <x:c r="E29" s="14" t="n">
        <x:v>5</x:v>
      </x:c>
      <x:c r="F29" s="12" t="str">
        <x:v>АР</x:v>
      </x:c>
      <x:c r="G29" s="14" t="n">
        <x:v>4</x:v>
      </x:c>
      <x:c r="H29" s="15" t="n">
        <x:f>VLOOKUP(F29,'Паспорт'!$D$7:$E$11,2,FALSE)</x:f>
        <x:v>10000</x:v>
      </x:c>
      <x:c r="I29" s="15" t="n">
        <x:f>G29*H29</x:f>
        <x:v>40000</x:v>
      </x:c>
      <x:c r="J29" s="12" t="str">
        <x:v>5.1.2 FS</x:v>
      </x:c>
      <x:c r="K29" s="12" t="n">
        <x:v>5</x:v>
      </x:c>
    </x:row>
    <x:row r="30" ht="24" customHeight="1">
      <x:c r="A30" s="12" t="str">
        <x:v>5.2.2</x:v>
      </x:c>
      <x:c r="B30" s="12" t="str">
        <x:v>Руководство пользователя</x:v>
      </x:c>
      <x:c r="C30" s="13" t="n">
        <x:v>46538</x:v>
      </x:c>
      <x:c r="D30" s="13" t="n">
        <x:v>46556</x:v>
      </x:c>
      <x:c r="E30" s="14" t="n">
        <x:v>15</x:v>
      </x:c>
      <x:c r="F30" s="12" t="str">
        <x:v>UX</x:v>
      </x:c>
      <x:c r="G30" s="14" t="n">
        <x:v>9</x:v>
      </x:c>
      <x:c r="H30" s="15" t="n">
        <x:f>VLOOKUP(F30,'Паспорт'!$D$7:$E$11,2,FALSE)</x:f>
        <x:v>7000</x:v>
      </x:c>
      <x:c r="I30" s="15" t="n">
        <x:f>G30*H30</x:f>
        <x:v>63000</x:v>
      </x:c>
      <x:c r="J30" s="12" t="str">
        <x:v>4.2.3 FS</x:v>
      </x:c>
      <x:c r="K30" s="12" t="n">
        <x:v>5</x:v>
      </x:c>
    </x:row>
    <x:row r="31" ht="24" customHeight="1">
      <x:c r="A31" s="12" t="str">
        <x:v>6.1.1</x:v>
      </x:c>
      <x:c r="B31" s="12" t="str">
        <x:v>Ценностное предложение и аудитории</x:v>
      </x:c>
      <x:c r="C31" s="13" t="n">
        <x:v>46363</x:v>
      </x:c>
      <x:c r="D31" s="13" t="n">
        <x:v>46402</x:v>
      </x:c>
      <x:c r="E31" s="14" t="n">
        <x:v>30</x:v>
      </x:c>
      <x:c r="F31" s="12" t="str">
        <x:v>МК</x:v>
      </x:c>
      <x:c r="G31" s="14" t="n">
        <x:v>15</x:v>
      </x:c>
      <x:c r="H31" s="15" t="n">
        <x:f>VLOOKUP(F31,'Паспорт'!$D$7:$E$11,2,FALSE)</x:f>
        <x:v>7000</x:v>
      </x:c>
      <x:c r="I31" s="15" t="n">
        <x:f>G31*H31</x:f>
        <x:v>105000</x:v>
      </x:c>
      <x:c r="J31" s="12" t="str">
        <x:v>1.2.2 FS</x:v>
      </x:c>
      <x:c r="K31" s="12" t="n">
        <x:v>6</x:v>
      </x:c>
    </x:row>
    <x:row r="32" ht="24" customHeight="1">
      <x:c r="A32" s="12" t="str">
        <x:v>6.1.2</x:v>
      </x:c>
      <x:c r="B32" s="12" t="str">
        <x:v>Лендинг и демонстрация продукта</x:v>
      </x:c>
      <x:c r="C32" s="13" t="n">
        <x:v>46405</x:v>
      </x:c>
      <x:c r="D32" s="13" t="n">
        <x:v>46444</x:v>
      </x:c>
      <x:c r="E32" s="14" t="n">
        <x:v>30</x:v>
      </x:c>
      <x:c r="F32" s="12" t="str">
        <x:v>МК</x:v>
      </x:c>
      <x:c r="G32" s="14" t="n">
        <x:v>15</x:v>
      </x:c>
      <x:c r="H32" s="15" t="n">
        <x:f>VLOOKUP(F32,'Паспорт'!$D$7:$E$11,2,FALSE)</x:f>
        <x:v>7000</x:v>
      </x:c>
      <x:c r="I32" s="15" t="n">
        <x:f>G32*H32</x:f>
        <x:v>105000</x:v>
      </x:c>
      <x:c r="J32" s="12" t="str">
        <x:v>6.1.1 FS</x:v>
      </x:c>
      <x:c r="K32" s="12" t="n">
        <x:v>6</x:v>
      </x:c>
    </x:row>
    <x:row r="33" ht="24" customHeight="1">
      <x:c r="A33" s="12" t="str">
        <x:v>6.1.3</x:v>
      </x:c>
      <x:c r="B33" s="12" t="str">
        <x:v>Контент-план и учебные материалы</x:v>
      </x:c>
      <x:c r="C33" s="13" t="n">
        <x:v>46447</x:v>
      </x:c>
      <x:c r="D33" s="13" t="n">
        <x:v>46472</x:v>
      </x:c>
      <x:c r="E33" s="14" t="n">
        <x:v>20</x:v>
      </x:c>
      <x:c r="F33" s="12" t="str">
        <x:v>МК</x:v>
      </x:c>
      <x:c r="G33" s="14" t="n">
        <x:v>10</x:v>
      </x:c>
      <x:c r="H33" s="15" t="n">
        <x:f>VLOOKUP(F33,'Паспорт'!$D$7:$E$11,2,FALSE)</x:f>
        <x:v>7000</x:v>
      </x:c>
      <x:c r="I33" s="15" t="n">
        <x:f>G33*H33</x:f>
        <x:v>70000</x:v>
      </x:c>
      <x:c r="J33" s="12" t="str">
        <x:v>6.1.2 FS</x:v>
      </x:c>
      <x:c r="K33" s="12" t="n">
        <x:v>6</x:v>
      </x:c>
    </x:row>
    <x:row r="34" ht="24" customHeight="1">
      <x:c r="A34" s="12" t="str">
        <x:v>6.2.1</x:v>
      </x:c>
      <x:c r="B34" s="12" t="str">
        <x:v>Набор пилотной группы</x:v>
      </x:c>
      <x:c r="C34" s="13" t="n">
        <x:v>46482</x:v>
      </x:c>
      <x:c r="D34" s="13" t="n">
        <x:v>46507</x:v>
      </x:c>
      <x:c r="E34" s="14" t="n">
        <x:v>20</x:v>
      </x:c>
      <x:c r="F34" s="12" t="str">
        <x:v>МК</x:v>
      </x:c>
      <x:c r="G34" s="14" t="n">
        <x:v>10</x:v>
      </x:c>
      <x:c r="H34" s="15" t="n">
        <x:f>VLOOKUP(F34,'Паспорт'!$D$7:$E$11,2,FALSE)</x:f>
        <x:v>7000</x:v>
      </x:c>
      <x:c r="I34" s="15" t="n">
        <x:f>G34*H34</x:f>
        <x:v>70000</x:v>
      </x:c>
      <x:c r="J34" s="12" t="str">
        <x:v>6.1.3 FS</x:v>
      </x:c>
      <x:c r="K34" s="12" t="n">
        <x:v>6</x:v>
      </x:c>
    </x:row>
    <x:row r="35" ht="24" customHeight="1">
      <x:c r="A35" s="12" t="str">
        <x:v>6.2.2</x:v>
      </x:c>
      <x:c r="B35" s="12" t="str">
        <x:v>Пилот и сбор обратной связи</x:v>
      </x:c>
      <x:c r="C35" s="13" t="n">
        <x:v>46510</x:v>
      </x:c>
      <x:c r="D35" s="13" t="n">
        <x:v>46535</x:v>
      </x:c>
      <x:c r="E35" s="14" t="n">
        <x:v>20</x:v>
      </x:c>
      <x:c r="F35" s="12" t="str">
        <x:v>МК</x:v>
      </x:c>
      <x:c r="G35" s="14" t="n">
        <x:v>10</x:v>
      </x:c>
      <x:c r="H35" s="15" t="n">
        <x:f>VLOOKUP(F35,'Паспорт'!$D$7:$E$11,2,FALSE)</x:f>
        <x:v>7000</x:v>
      </x:c>
      <x:c r="I35" s="15" t="n">
        <x:f>G35*H35</x:f>
        <x:v>70000</x:v>
      </x:c>
      <x:c r="J35" s="12" t="str">
        <x:v>6.2.1 FS</x:v>
      </x:c>
      <x:c r="K35" s="12" t="n">
        <x:v>6</x:v>
      </x:c>
    </x:row>
    <x:row r="36" ht="24" customHeight="1">
      <x:c r="A36" s="12" t="str">
        <x:v>6.2.3</x:v>
      </x:c>
      <x:c r="B36" s="12" t="str">
        <x:v>Анализ отклика и гипотезы монетизации</x:v>
      </x:c>
      <x:c r="C36" s="13" t="n">
        <x:v>46538</x:v>
      </x:c>
      <x:c r="D36" s="13" t="n">
        <x:v>46556</x:v>
      </x:c>
      <x:c r="E36" s="14" t="n">
        <x:v>15</x:v>
      </x:c>
      <x:c r="F36" s="12" t="str">
        <x:v>МК</x:v>
      </x:c>
      <x:c r="G36" s="14" t="n">
        <x:v>8</x:v>
      </x:c>
      <x:c r="H36" s="15" t="n">
        <x:f>VLOOKUP(F36,'Паспорт'!$D$7:$E$11,2,FALSE)</x:f>
        <x:v>7000</x:v>
      </x:c>
      <x:c r="I36" s="15" t="n">
        <x:f>G36*H36</x:f>
        <x:v>56000</x:v>
      </x:c>
      <x:c r="J36" s="12" t="str">
        <x:v>6.2.2 FS</x:v>
      </x:c>
      <x:c r="K36" s="12" t="n">
        <x:v>6</x:v>
      </x:c>
    </x:row>
    <x:row r="37" ht="24" customHeight="1">
      <x:c r="A37" s="12" t="str">
        <x:v>6.2.4</x:v>
      </x:c>
      <x:c r="B37" s="12" t="str">
        <x:v>Презентация и план запуска</x:v>
      </x:c>
      <x:c r="C37" s="13" t="n">
        <x:v>46559</x:v>
      </x:c>
      <x:c r="D37" s="13" t="n">
        <x:v>46568</x:v>
      </x:c>
      <x:c r="E37" s="14" t="n">
        <x:v>8</x:v>
      </x:c>
      <x:c r="F37" s="12" t="str">
        <x:v>РП</x:v>
      </x:c>
      <x:c r="G37" s="14" t="n">
        <x:v>6</x:v>
      </x:c>
      <x:c r="H37" s="15" t="n">
        <x:f>VLOOKUP(F37,'Паспорт'!$D$7:$E$11,2,FALSE)</x:f>
        <x:v>8000</x:v>
      </x:c>
      <x:c r="I37" s="15" t="n">
        <x:f>G37*H37</x:f>
        <x:v>48000</x:v>
      </x:c>
      <x:c r="J37" s="12" t="str">
        <x:v>5.2.1 FS; 6.2.3 FS</x:v>
      </x:c>
      <x:c r="K37" s="12" t="n">
        <x:v>6</x:v>
      </x:c>
    </x:row>
    <x:row r="38" ht="24" customHeight="1">
      <x:c r="A38" s="16" t="str">
        <x:v>1.9.0</x:v>
      </x:c>
      <x:c r="B38" s="16" t="str">
        <x:v>Веха: концепция утверждена</x:v>
      </x:c>
      <x:c r="C38" s="17" t="n">
        <x:v>46360</x:v>
      </x:c>
      <x:c r="D38" s="17" t="n">
        <x:v>46360</x:v>
      </x:c>
      <x:c r="E38" s="18" t="n">
        <x:v>0</x:v>
      </x:c>
      <x:c r="F38" s="16" t="str">
        <x:v>РП</x:v>
      </x:c>
      <x:c r="G38" s="18" t="n">
        <x:v>0</x:v>
      </x:c>
      <x:c r="H38" s="19" t="n">
        <x:f>VLOOKUP(F38,'Паспорт'!$D$7:$E$11,2,FALSE)</x:f>
        <x:v>8000</x:v>
      </x:c>
      <x:c r="I38" s="19" t="n">
        <x:f>G38*H38</x:f>
        <x:v>0</x:v>
      </x:c>
      <x:c r="J38" s="16" t="str">
        <x:v>1.2.2 FF</x:v>
      </x:c>
      <x:c r="K38" s="16" t="n">
        <x:v>1</x:v>
      </x:c>
    </x:row>
    <x:row r="39" ht="24" customHeight="1">
      <x:c r="A39" s="16" t="str">
        <x:v>4.9.0</x:v>
      </x:c>
      <x:c r="B39" s="16" t="str">
        <x:v>Веха: функциональный контур готов</x:v>
      </x:c>
      <x:c r="C39" s="17" t="n">
        <x:v>46535</x:v>
      </x:c>
      <x:c r="D39" s="17" t="n">
        <x:v>46535</x:v>
      </x:c>
      <x:c r="E39" s="18" t="n">
        <x:v>0</x:v>
      </x:c>
      <x:c r="F39" s="16" t="str">
        <x:v>РП</x:v>
      </x:c>
      <x:c r="G39" s="18" t="n">
        <x:v>0</x:v>
      </x:c>
      <x:c r="H39" s="19" t="n">
        <x:f>VLOOKUP(F39,'Паспорт'!$D$7:$E$11,2,FALSE)</x:f>
        <x:v>8000</x:v>
      </x:c>
      <x:c r="I39" s="19" t="n">
        <x:f>G39*H39</x:f>
        <x:v>0</x:v>
      </x:c>
      <x:c r="J39" s="16" t="str">
        <x:v>4.2.4 FF</x:v>
      </x:c>
      <x:c r="K39" s="16" t="n">
        <x:v>4</x:v>
      </x:c>
    </x:row>
    <x:row r="40" ht="24" customHeight="1">
      <x:c r="A40" s="16" t="str">
        <x:v>6.9.0</x:v>
      </x:c>
      <x:c r="B40" s="16" t="str">
        <x:v>Веха: план защищён</x:v>
      </x:c>
      <x:c r="C40" s="17" t="n">
        <x:v>46568</x:v>
      </x:c>
      <x:c r="D40" s="17" t="n">
        <x:v>46568</x:v>
      </x:c>
      <x:c r="E40" s="18" t="n">
        <x:v>0</x:v>
      </x:c>
      <x:c r="F40" s="16" t="str">
        <x:v>РП</x:v>
      </x:c>
      <x:c r="G40" s="18" t="n">
        <x:v>0</x:v>
      </x:c>
      <x:c r="H40" s="19" t="n">
        <x:f>VLOOKUP(F40,'Паспорт'!$D$7:$E$11,2,FALSE)</x:f>
        <x:v>8000</x:v>
      </x:c>
      <x:c r="I40" s="19" t="n">
        <x:f>G40*H40</x:f>
        <x:v>0</x:v>
      </x:c>
      <x:c r="J40" s="16" t="str">
        <x:v>6.2.4 FF</x:v>
      </x:c>
      <x:c r="K40" s="16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8" hidden="0" customWidth="1"/>
    <x:col min="4" max="4" width="13" hidden="0" customWidth="1"/>
    <x:col min="5" max="5" width="13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</x:cols>
  <x:sheetData>
    <x:row r="1">
      <x:c r="A1" s="35" t="str">
        <x:v>OmniNotation — календарь по неделям</x:v>
      </x:c>
      <x:c r="B1" s="35"/>
      <x:c r="C1" s="35"/>
      <x:c r="D1" s="35"/>
      <x:c r="E1" s="35"/>
    </x:row>
    <x:row r="2" ht="28" customHeight="1">
      <x:c r="A2" s="39" t="str">
        <x:v>WBS</x:v>
      </x:c>
      <x:c r="B2" s="39" t="str">
        <x:v>Операция</x:v>
      </x:c>
      <x:c r="C2" s="39" t="str">
        <x:v>Исп.</x:v>
      </x:c>
      <x:c r="D2" s="39" t="str">
        <x:v>Начало</x:v>
      </x:c>
      <x:c r="E2" s="39" t="str">
        <x:v>Окончание</x:v>
      </x:c>
      <x:c r="F2" s="40" t="n">
        <x:v>46328</x:v>
      </x:c>
      <x:c r="G2" s="40" t="n">
        <x:v>46335</x:v>
      </x:c>
      <x:c r="H2" s="40" t="n">
        <x:v>46342</x:v>
      </x:c>
      <x:c r="I2" s="40" t="n">
        <x:v>46349</x:v>
      </x:c>
      <x:c r="J2" s="40" t="n">
        <x:v>46356</x:v>
      </x:c>
      <x:c r="K2" s="40" t="n">
        <x:v>46363</x:v>
      </x:c>
      <x:c r="L2" s="40" t="n">
        <x:v>46370</x:v>
      </x:c>
      <x:c r="M2" s="40" t="n">
        <x:v>46377</x:v>
      </x:c>
      <x:c r="N2" s="40" t="n">
        <x:v>46384</x:v>
      </x:c>
      <x:c r="O2" s="40" t="n">
        <x:v>46391</x:v>
      </x:c>
      <x:c r="P2" s="40" t="n">
        <x:v>46398</x:v>
      </x:c>
      <x:c r="Q2" s="40" t="n">
        <x:v>46405</x:v>
      </x:c>
      <x:c r="R2" s="40" t="n">
        <x:v>46412</x:v>
      </x:c>
      <x:c r="S2" s="40" t="n">
        <x:v>46419</x:v>
      </x:c>
      <x:c r="T2" s="40" t="n">
        <x:v>46426</x:v>
      </x:c>
      <x:c r="U2" s="40" t="n">
        <x:v>46433</x:v>
      </x:c>
      <x:c r="V2" s="40" t="n">
        <x:v>46440</x:v>
      </x:c>
      <x:c r="W2" s="40" t="n">
        <x:v>46447</x:v>
      </x:c>
      <x:c r="X2" s="40" t="n">
        <x:v>46454</x:v>
      </x:c>
      <x:c r="Y2" s="40" t="n">
        <x:v>46461</x:v>
      </x:c>
      <x:c r="Z2" s="40" t="n">
        <x:v>46468</x:v>
      </x:c>
      <x:c r="AA2" s="40" t="n">
        <x:v>46475</x:v>
      </x:c>
      <x:c r="AB2" s="40" t="n">
        <x:v>46482</x:v>
      </x:c>
      <x:c r="AC2" s="40" t="n">
        <x:v>46489</x:v>
      </x:c>
      <x:c r="AD2" s="40" t="n">
        <x:v>46496</x:v>
      </x:c>
      <x:c r="AE2" s="40" t="n">
        <x:v>46503</x:v>
      </x:c>
      <x:c r="AF2" s="40" t="n">
        <x:v>46510</x:v>
      </x:c>
      <x:c r="AG2" s="40" t="n">
        <x:v>46517</x:v>
      </x:c>
      <x:c r="AH2" s="40" t="n">
        <x:v>46524</x:v>
      </x:c>
      <x:c r="AI2" s="40" t="n">
        <x:v>46531</x:v>
      </x:c>
      <x:c r="AJ2" s="40" t="n">
        <x:v>46538</x:v>
      </x:c>
      <x:c r="AK2" s="40" t="n">
        <x:v>46545</x:v>
      </x:c>
      <x:c r="AL2" s="40" t="n">
        <x:v>46552</x:v>
      </x:c>
      <x:c r="AM2" s="40" t="n">
        <x:v>46559</x:v>
      </x:c>
      <x:c r="AN2" s="40" t="n">
        <x:v>46566</x:v>
      </x:c>
    </x:row>
    <x:row r="3" ht="22" customHeight="1">
      <x:c r="A3" t="str">
        <x:f>'План'!A2</x:f>
        <x:v>1.1.1</x:v>
      </x:c>
      <x:c r="B3" t="str">
        <x:f>'План'!B2</x:f>
        <x:v>Старт проекта и критерии успеха</x:v>
      </x:c>
      <x:c r="C3" t="str">
        <x:f>'План'!F2</x:f>
        <x:v>РП</x:v>
      </x:c>
      <x:c r="D3" s="2" t="n">
        <x:f>'План'!C2</x:f>
        <x:v>46328</x:v>
      </x:c>
      <x:c r="E3" s="2" t="n">
        <x:f>'План'!D2</x:f>
        <x:v>46332</x:v>
      </x:c>
      <x:c r="F3" s="42" t="str">
        <x:f>IF(AND('План'!$C2&lt;=F$2+6,'План'!$D2&gt;=F$2),"■","")</x:f>
        <x:v>■</x:v>
      </x:c>
      <x:c r="G3" s="42" t="str">
        <x:f>IF(AND('План'!$C2&lt;=G$2+6,'План'!$D2&gt;=G$2),"■","")</x:f>
      </x:c>
      <x:c r="H3" s="42" t="str">
        <x:f>IF(AND('План'!$C2&lt;=H$2+6,'План'!$D2&gt;=H$2),"■","")</x:f>
      </x:c>
      <x:c r="I3" s="42" t="str">
        <x:f>IF(AND('План'!$C2&lt;=I$2+6,'План'!$D2&gt;=I$2),"■","")</x:f>
      </x:c>
      <x:c r="J3" s="42" t="str">
        <x:f>IF(AND('План'!$C2&lt;=J$2+6,'План'!$D2&gt;=J$2),"■","")</x:f>
      </x:c>
      <x:c r="K3" s="42" t="str">
        <x:f>IF(AND('План'!$C2&lt;=K$2+6,'План'!$D2&gt;=K$2),"■","")</x:f>
      </x:c>
      <x:c r="L3" s="42" t="str">
        <x:f>IF(AND('План'!$C2&lt;=L$2+6,'План'!$D2&gt;=L$2),"■","")</x:f>
      </x:c>
      <x:c r="M3" s="42" t="str">
        <x:f>IF(AND('План'!$C2&lt;=M$2+6,'План'!$D2&gt;=M$2),"■","")</x:f>
      </x:c>
      <x:c r="N3" s="42" t="str">
        <x:f>IF(AND('План'!$C2&lt;=N$2+6,'План'!$D2&gt;=N$2),"■","")</x:f>
      </x:c>
      <x:c r="O3" s="42" t="str">
        <x:f>IF(AND('План'!$C2&lt;=O$2+6,'План'!$D2&gt;=O$2),"■","")</x:f>
      </x:c>
      <x:c r="P3" s="42" t="str">
        <x:f>IF(AND('План'!$C2&lt;=P$2+6,'План'!$D2&gt;=P$2),"■","")</x:f>
      </x:c>
      <x:c r="Q3" s="42" t="str">
        <x:f>IF(AND('План'!$C2&lt;=Q$2+6,'План'!$D2&gt;=Q$2),"■","")</x:f>
      </x:c>
      <x:c r="R3" s="42" t="str">
        <x:f>IF(AND('План'!$C2&lt;=R$2+6,'План'!$D2&gt;=R$2),"■","")</x:f>
      </x:c>
      <x:c r="S3" s="42" t="str">
        <x:f>IF(AND('План'!$C2&lt;=S$2+6,'План'!$D2&gt;=S$2),"■","")</x:f>
      </x:c>
      <x:c r="T3" s="42" t="str">
        <x:f>IF(AND('План'!$C2&lt;=T$2+6,'План'!$D2&gt;=T$2),"■","")</x:f>
      </x:c>
      <x:c r="U3" s="42" t="str">
        <x:f>IF(AND('План'!$C2&lt;=U$2+6,'План'!$D2&gt;=U$2),"■","")</x:f>
      </x:c>
      <x:c r="V3" s="42" t="str">
        <x:f>IF(AND('План'!$C2&lt;=V$2+6,'План'!$D2&gt;=V$2),"■","")</x:f>
      </x:c>
      <x:c r="W3" s="42" t="str">
        <x:f>IF(AND('План'!$C2&lt;=W$2+6,'План'!$D2&gt;=W$2),"■","")</x:f>
      </x:c>
      <x:c r="X3" s="42" t="str">
        <x:f>IF(AND('План'!$C2&lt;=X$2+6,'План'!$D2&gt;=X$2),"■","")</x:f>
      </x:c>
      <x:c r="Y3" s="42" t="str">
        <x:f>IF(AND('План'!$C2&lt;=Y$2+6,'План'!$D2&gt;=Y$2),"■","")</x:f>
      </x:c>
      <x:c r="Z3" s="42" t="str">
        <x:f>IF(AND('План'!$C2&lt;=Z$2+6,'План'!$D2&gt;=Z$2),"■","")</x:f>
      </x:c>
      <x:c r="AA3" s="42" t="str">
        <x:f>IF(AND('План'!$C2&lt;=AA$2+6,'План'!$D2&gt;=AA$2),"■","")</x:f>
      </x:c>
      <x:c r="AB3" s="42" t="str">
        <x:f>IF(AND('План'!$C2&lt;=AB$2+6,'План'!$D2&gt;=AB$2),"■","")</x:f>
      </x:c>
      <x:c r="AC3" s="42" t="str">
        <x:f>IF(AND('План'!$C2&lt;=AC$2+6,'План'!$D2&gt;=AC$2),"■","")</x:f>
      </x:c>
      <x:c r="AD3" s="42" t="str">
        <x:f>IF(AND('План'!$C2&lt;=AD$2+6,'План'!$D2&gt;=AD$2),"■","")</x:f>
      </x:c>
      <x:c r="AE3" s="42" t="str">
        <x:f>IF(AND('План'!$C2&lt;=AE$2+6,'План'!$D2&gt;=AE$2),"■","")</x:f>
      </x:c>
      <x:c r="AF3" s="42" t="str">
        <x:f>IF(AND('План'!$C2&lt;=AF$2+6,'План'!$D2&gt;=AF$2),"■","")</x:f>
      </x:c>
      <x:c r="AG3" s="42" t="str">
        <x:f>IF(AND('План'!$C2&lt;=AG$2+6,'План'!$D2&gt;=AG$2),"■","")</x:f>
      </x:c>
      <x:c r="AH3" s="42" t="str">
        <x:f>IF(AND('План'!$C2&lt;=AH$2+6,'План'!$D2&gt;=AH$2),"■","")</x:f>
      </x:c>
      <x:c r="AI3" s="42" t="str">
        <x:f>IF(AND('План'!$C2&lt;=AI$2+6,'План'!$D2&gt;=AI$2),"■","")</x:f>
      </x:c>
      <x:c r="AJ3" s="42" t="str">
        <x:f>IF(AND('План'!$C2&lt;=AJ$2+6,'План'!$D2&gt;=AJ$2),"■","")</x:f>
      </x:c>
      <x:c r="AK3" s="42" t="str">
        <x:f>IF(AND('План'!$C2&lt;=AK$2+6,'План'!$D2&gt;=AK$2),"■","")</x:f>
      </x:c>
      <x:c r="AL3" s="42" t="str">
        <x:f>IF(AND('План'!$C2&lt;=AL$2+6,'План'!$D2&gt;=AL$2),"■","")</x:f>
      </x:c>
      <x:c r="AM3" s="42" t="str">
        <x:f>IF(AND('План'!$C2&lt;=AM$2+6,'План'!$D2&gt;=AM$2),"■","")</x:f>
      </x:c>
      <x:c r="AN3" s="42" t="str">
        <x:f>IF(AND('План'!$C2&lt;=AN$2+6,'План'!$D2&gt;=AN$2),"■","")</x:f>
      </x:c>
    </x:row>
    <x:row r="4" ht="22" customHeight="1">
      <x:c r="A4" t="str">
        <x:f>'План'!A3</x:f>
        <x:v>1.1.2</x:v>
      </x:c>
      <x:c r="B4" t="str">
        <x:f>'План'!B3</x:f>
        <x:v>Аудит текущей версии OmniNotation</x:v>
      </x:c>
      <x:c r="C4" t="str">
        <x:f>'План'!F3</x:f>
        <x:v>АР</x:v>
      </x:c>
      <x:c r="D4" s="2" t="n">
        <x:f>'План'!C3</x:f>
        <x:v>46328</x:v>
      </x:c>
      <x:c r="E4" s="2" t="n">
        <x:f>'План'!D3</x:f>
        <x:v>46339</x:v>
      </x:c>
      <x:c r="F4" s="42" t="str">
        <x:f>IF(AND('План'!$C3&lt;=F$2+6,'План'!$D3&gt;=F$2),"■","")</x:f>
        <x:v>■</x:v>
      </x:c>
      <x:c r="G4" s="42" t="str">
        <x:f>IF(AND('План'!$C3&lt;=G$2+6,'План'!$D3&gt;=G$2),"■","")</x:f>
        <x:v>■</x:v>
      </x:c>
      <x:c r="H4" s="42" t="str">
        <x:f>IF(AND('План'!$C3&lt;=H$2+6,'План'!$D3&gt;=H$2),"■","")</x:f>
      </x:c>
      <x:c r="I4" s="42" t="str">
        <x:f>IF(AND('План'!$C3&lt;=I$2+6,'План'!$D3&gt;=I$2),"■","")</x:f>
      </x:c>
      <x:c r="J4" s="42" t="str">
        <x:f>IF(AND('План'!$C3&lt;=J$2+6,'План'!$D3&gt;=J$2),"■","")</x:f>
      </x:c>
      <x:c r="K4" s="42" t="str">
        <x:f>IF(AND('План'!$C3&lt;=K$2+6,'План'!$D3&gt;=K$2),"■","")</x:f>
      </x:c>
      <x:c r="L4" s="42" t="str">
        <x:f>IF(AND('План'!$C3&lt;=L$2+6,'План'!$D3&gt;=L$2),"■","")</x:f>
      </x:c>
      <x:c r="M4" s="42" t="str">
        <x:f>IF(AND('План'!$C3&lt;=M$2+6,'План'!$D3&gt;=M$2),"■","")</x:f>
      </x:c>
      <x:c r="N4" s="42" t="str">
        <x:f>IF(AND('План'!$C3&lt;=N$2+6,'План'!$D3&gt;=N$2),"■","")</x:f>
      </x:c>
      <x:c r="O4" s="42" t="str">
        <x:f>IF(AND('План'!$C3&lt;=O$2+6,'План'!$D3&gt;=O$2),"■","")</x:f>
      </x:c>
      <x:c r="P4" s="42" t="str">
        <x:f>IF(AND('План'!$C3&lt;=P$2+6,'План'!$D3&gt;=P$2),"■","")</x:f>
      </x:c>
      <x:c r="Q4" s="42" t="str">
        <x:f>IF(AND('План'!$C3&lt;=Q$2+6,'План'!$D3&gt;=Q$2),"■","")</x:f>
      </x:c>
      <x:c r="R4" s="42" t="str">
        <x:f>IF(AND('План'!$C3&lt;=R$2+6,'План'!$D3&gt;=R$2),"■","")</x:f>
      </x:c>
      <x:c r="S4" s="42" t="str">
        <x:f>IF(AND('План'!$C3&lt;=S$2+6,'План'!$D3&gt;=S$2),"■","")</x:f>
      </x:c>
      <x:c r="T4" s="42" t="str">
        <x:f>IF(AND('План'!$C3&lt;=T$2+6,'План'!$D3&gt;=T$2),"■","")</x:f>
      </x:c>
      <x:c r="U4" s="42" t="str">
        <x:f>IF(AND('План'!$C3&lt;=U$2+6,'План'!$D3&gt;=U$2),"■","")</x:f>
      </x:c>
      <x:c r="V4" s="42" t="str">
        <x:f>IF(AND('План'!$C3&lt;=V$2+6,'План'!$D3&gt;=V$2),"■","")</x:f>
      </x:c>
      <x:c r="W4" s="42" t="str">
        <x:f>IF(AND('План'!$C3&lt;=W$2+6,'План'!$D3&gt;=W$2),"■","")</x:f>
      </x:c>
      <x:c r="X4" s="42" t="str">
        <x:f>IF(AND('План'!$C3&lt;=X$2+6,'План'!$D3&gt;=X$2),"■","")</x:f>
      </x:c>
      <x:c r="Y4" s="42" t="str">
        <x:f>IF(AND('План'!$C3&lt;=Y$2+6,'План'!$D3&gt;=Y$2),"■","")</x:f>
      </x:c>
      <x:c r="Z4" s="42" t="str">
        <x:f>IF(AND('План'!$C3&lt;=Z$2+6,'План'!$D3&gt;=Z$2),"■","")</x:f>
      </x:c>
      <x:c r="AA4" s="42" t="str">
        <x:f>IF(AND('План'!$C3&lt;=AA$2+6,'План'!$D3&gt;=AA$2),"■","")</x:f>
      </x:c>
      <x:c r="AB4" s="42" t="str">
        <x:f>IF(AND('План'!$C3&lt;=AB$2+6,'План'!$D3&gt;=AB$2),"■","")</x:f>
      </x:c>
      <x:c r="AC4" s="42" t="str">
        <x:f>IF(AND('План'!$C3&lt;=AC$2+6,'План'!$D3&gt;=AC$2),"■","")</x:f>
      </x:c>
      <x:c r="AD4" s="42" t="str">
        <x:f>IF(AND('План'!$C3&lt;=AD$2+6,'План'!$D3&gt;=AD$2),"■","")</x:f>
      </x:c>
      <x:c r="AE4" s="42" t="str">
        <x:f>IF(AND('План'!$C3&lt;=AE$2+6,'План'!$D3&gt;=AE$2),"■","")</x:f>
      </x:c>
      <x:c r="AF4" s="42" t="str">
        <x:f>IF(AND('План'!$C3&lt;=AF$2+6,'План'!$D3&gt;=AF$2),"■","")</x:f>
      </x:c>
      <x:c r="AG4" s="42" t="str">
        <x:f>IF(AND('План'!$C3&lt;=AG$2+6,'План'!$D3&gt;=AG$2),"■","")</x:f>
      </x:c>
      <x:c r="AH4" s="42" t="str">
        <x:f>IF(AND('План'!$C3&lt;=AH$2+6,'План'!$D3&gt;=AH$2),"■","")</x:f>
      </x:c>
      <x:c r="AI4" s="42" t="str">
        <x:f>IF(AND('План'!$C3&lt;=AI$2+6,'План'!$D3&gt;=AI$2),"■","")</x:f>
      </x:c>
      <x:c r="AJ4" s="42" t="str">
        <x:f>IF(AND('План'!$C3&lt;=AJ$2+6,'План'!$D3&gt;=AJ$2),"■","")</x:f>
      </x:c>
      <x:c r="AK4" s="42" t="str">
        <x:f>IF(AND('План'!$C3&lt;=AK$2+6,'План'!$D3&gt;=AK$2),"■","")</x:f>
      </x:c>
      <x:c r="AL4" s="42" t="str">
        <x:f>IF(AND('План'!$C3&lt;=AL$2+6,'План'!$D3&gt;=AL$2),"■","")</x:f>
      </x:c>
      <x:c r="AM4" s="42" t="str">
        <x:f>IF(AND('План'!$C3&lt;=AM$2+6,'План'!$D3&gt;=AM$2),"■","")</x:f>
      </x:c>
      <x:c r="AN4" s="42" t="str">
        <x:f>IF(AND('План'!$C3&lt;=AN$2+6,'План'!$D3&gt;=AN$2),"■","")</x:f>
      </x:c>
    </x:row>
    <x:row r="5" ht="22" customHeight="1">
      <x:c r="A5" t="str">
        <x:f>'План'!A4</x:f>
        <x:v>1.1.3</x:v>
      </x:c>
      <x:c r="B5" t="str">
        <x:f>'План'!B4</x:f>
        <x:v>Интервью и сегменты пользователей</x:v>
      </x:c>
      <x:c r="C5" t="str">
        <x:f>'План'!F4</x:f>
        <x:v>МК</x:v>
      </x:c>
      <x:c r="D5" s="2" t="n">
        <x:f>'План'!C4</x:f>
        <x:v>46335</x:v>
      </x:c>
      <x:c r="E5" s="2" t="n">
        <x:f>'План'!D4</x:f>
        <x:v>46346</x:v>
      </x:c>
      <x:c r="F5" s="42" t="str">
        <x:f>IF(AND('План'!$C4&lt;=F$2+6,'План'!$D4&gt;=F$2),"■","")</x:f>
      </x:c>
      <x:c r="G5" s="42" t="str">
        <x:f>IF(AND('План'!$C4&lt;=G$2+6,'План'!$D4&gt;=G$2),"■","")</x:f>
        <x:v>■</x:v>
      </x:c>
      <x:c r="H5" s="42" t="str">
        <x:f>IF(AND('План'!$C4&lt;=H$2+6,'План'!$D4&gt;=H$2),"■","")</x:f>
        <x:v>■</x:v>
      </x:c>
      <x:c r="I5" s="42" t="str">
        <x:f>IF(AND('План'!$C4&lt;=I$2+6,'План'!$D4&gt;=I$2),"■","")</x:f>
      </x:c>
      <x:c r="J5" s="42" t="str">
        <x:f>IF(AND('План'!$C4&lt;=J$2+6,'План'!$D4&gt;=J$2),"■","")</x:f>
      </x:c>
      <x:c r="K5" s="42" t="str">
        <x:f>IF(AND('План'!$C4&lt;=K$2+6,'План'!$D4&gt;=K$2),"■","")</x:f>
      </x:c>
      <x:c r="L5" s="42" t="str">
        <x:f>IF(AND('План'!$C4&lt;=L$2+6,'План'!$D4&gt;=L$2),"■","")</x:f>
      </x:c>
      <x:c r="M5" s="42" t="str">
        <x:f>IF(AND('План'!$C4&lt;=M$2+6,'План'!$D4&gt;=M$2),"■","")</x:f>
      </x:c>
      <x:c r="N5" s="42" t="str">
        <x:f>IF(AND('План'!$C4&lt;=N$2+6,'План'!$D4&gt;=N$2),"■","")</x:f>
      </x:c>
      <x:c r="O5" s="42" t="str">
        <x:f>IF(AND('План'!$C4&lt;=O$2+6,'План'!$D4&gt;=O$2),"■","")</x:f>
      </x:c>
      <x:c r="P5" s="42" t="str">
        <x:f>IF(AND('План'!$C4&lt;=P$2+6,'План'!$D4&gt;=P$2),"■","")</x:f>
      </x:c>
      <x:c r="Q5" s="42" t="str">
        <x:f>IF(AND('План'!$C4&lt;=Q$2+6,'План'!$D4&gt;=Q$2),"■","")</x:f>
      </x:c>
      <x:c r="R5" s="42" t="str">
        <x:f>IF(AND('План'!$C4&lt;=R$2+6,'План'!$D4&gt;=R$2),"■","")</x:f>
      </x:c>
      <x:c r="S5" s="42" t="str">
        <x:f>IF(AND('План'!$C4&lt;=S$2+6,'План'!$D4&gt;=S$2),"■","")</x:f>
      </x:c>
      <x:c r="T5" s="42" t="str">
        <x:f>IF(AND('План'!$C4&lt;=T$2+6,'План'!$D4&gt;=T$2),"■","")</x:f>
      </x:c>
      <x:c r="U5" s="42" t="str">
        <x:f>IF(AND('План'!$C4&lt;=U$2+6,'План'!$D4&gt;=U$2),"■","")</x:f>
      </x:c>
      <x:c r="V5" s="42" t="str">
        <x:f>IF(AND('План'!$C4&lt;=V$2+6,'План'!$D4&gt;=V$2),"■","")</x:f>
      </x:c>
      <x:c r="W5" s="42" t="str">
        <x:f>IF(AND('План'!$C4&lt;=W$2+6,'План'!$D4&gt;=W$2),"■","")</x:f>
      </x:c>
      <x:c r="X5" s="42" t="str">
        <x:f>IF(AND('План'!$C4&lt;=X$2+6,'План'!$D4&gt;=X$2),"■","")</x:f>
      </x:c>
      <x:c r="Y5" s="42" t="str">
        <x:f>IF(AND('План'!$C4&lt;=Y$2+6,'План'!$D4&gt;=Y$2),"■","")</x:f>
      </x:c>
      <x:c r="Z5" s="42" t="str">
        <x:f>IF(AND('План'!$C4&lt;=Z$2+6,'План'!$D4&gt;=Z$2),"■","")</x:f>
      </x:c>
      <x:c r="AA5" s="42" t="str">
        <x:f>IF(AND('План'!$C4&lt;=AA$2+6,'План'!$D4&gt;=AA$2),"■","")</x:f>
      </x:c>
      <x:c r="AB5" s="42" t="str">
        <x:f>IF(AND('План'!$C4&lt;=AB$2+6,'План'!$D4&gt;=AB$2),"■","")</x:f>
      </x:c>
      <x:c r="AC5" s="42" t="str">
        <x:f>IF(AND('План'!$C4&lt;=AC$2+6,'План'!$D4&gt;=AC$2),"■","")</x:f>
      </x:c>
      <x:c r="AD5" s="42" t="str">
        <x:f>IF(AND('План'!$C4&lt;=AD$2+6,'План'!$D4&gt;=AD$2),"■","")</x:f>
      </x:c>
      <x:c r="AE5" s="42" t="str">
        <x:f>IF(AND('План'!$C4&lt;=AE$2+6,'План'!$D4&gt;=AE$2),"■","")</x:f>
      </x:c>
      <x:c r="AF5" s="42" t="str">
        <x:f>IF(AND('План'!$C4&lt;=AF$2+6,'План'!$D4&gt;=AF$2),"■","")</x:f>
      </x:c>
      <x:c r="AG5" s="42" t="str">
        <x:f>IF(AND('План'!$C4&lt;=AG$2+6,'План'!$D4&gt;=AG$2),"■","")</x:f>
      </x:c>
      <x:c r="AH5" s="42" t="str">
        <x:f>IF(AND('План'!$C4&lt;=AH$2+6,'План'!$D4&gt;=AH$2),"■","")</x:f>
      </x:c>
      <x:c r="AI5" s="42" t="str">
        <x:f>IF(AND('План'!$C4&lt;=AI$2+6,'План'!$D4&gt;=AI$2),"■","")</x:f>
      </x:c>
      <x:c r="AJ5" s="42" t="str">
        <x:f>IF(AND('План'!$C4&lt;=AJ$2+6,'План'!$D4&gt;=AJ$2),"■","")</x:f>
      </x:c>
      <x:c r="AK5" s="42" t="str">
        <x:f>IF(AND('План'!$C4&lt;=AK$2+6,'План'!$D4&gt;=AK$2),"■","")</x:f>
      </x:c>
      <x:c r="AL5" s="42" t="str">
        <x:f>IF(AND('План'!$C4&lt;=AL$2+6,'План'!$D4&gt;=AL$2),"■","")</x:f>
      </x:c>
      <x:c r="AM5" s="42" t="str">
        <x:f>IF(AND('План'!$C4&lt;=AM$2+6,'План'!$D4&gt;=AM$2),"■","")</x:f>
      </x:c>
      <x:c r="AN5" s="42" t="str">
        <x:f>IF(AND('План'!$C4&lt;=AN$2+6,'План'!$D4&gt;=AN$2),"■","")</x:f>
      </x:c>
    </x:row>
    <x:row r="6" ht="22" customHeight="1">
      <x:c r="A6" t="str">
        <x:f>'План'!A5</x:f>
        <x:v>1.2.1</x:v>
      </x:c>
      <x:c r="B6" t="str">
        <x:f>'План'!B5</x:f>
        <x:v>Анализ альтернатив и позиционирования</x:v>
      </x:c>
      <x:c r="C6" t="str">
        <x:f>'План'!F5</x:f>
        <x:v>МК</x:v>
      </x:c>
      <x:c r="D6" s="2" t="n">
        <x:f>'План'!C5</x:f>
        <x:v>46342</x:v>
      </x:c>
      <x:c r="E6" s="2" t="n">
        <x:f>'План'!D5</x:f>
        <x:v>46353</x:v>
      </x:c>
      <x:c r="F6" s="42" t="str">
        <x:f>IF(AND('План'!$C5&lt;=F$2+6,'План'!$D5&gt;=F$2),"■","")</x:f>
      </x:c>
      <x:c r="G6" s="42" t="str">
        <x:f>IF(AND('План'!$C5&lt;=G$2+6,'План'!$D5&gt;=G$2),"■","")</x:f>
      </x:c>
      <x:c r="H6" s="42" t="str">
        <x:f>IF(AND('План'!$C5&lt;=H$2+6,'План'!$D5&gt;=H$2),"■","")</x:f>
        <x:v>■</x:v>
      </x:c>
      <x:c r="I6" s="42" t="str">
        <x:f>IF(AND('План'!$C5&lt;=I$2+6,'План'!$D5&gt;=I$2),"■","")</x:f>
        <x:v>■</x:v>
      </x:c>
      <x:c r="J6" s="42" t="str">
        <x:f>IF(AND('План'!$C5&lt;=J$2+6,'План'!$D5&gt;=J$2),"■","")</x:f>
      </x:c>
      <x:c r="K6" s="42" t="str">
        <x:f>IF(AND('План'!$C5&lt;=K$2+6,'План'!$D5&gt;=K$2),"■","")</x:f>
      </x:c>
      <x:c r="L6" s="42" t="str">
        <x:f>IF(AND('План'!$C5&lt;=L$2+6,'План'!$D5&gt;=L$2),"■","")</x:f>
      </x:c>
      <x:c r="M6" s="42" t="str">
        <x:f>IF(AND('План'!$C5&lt;=M$2+6,'План'!$D5&gt;=M$2),"■","")</x:f>
      </x:c>
      <x:c r="N6" s="42" t="str">
        <x:f>IF(AND('План'!$C5&lt;=N$2+6,'План'!$D5&gt;=N$2),"■","")</x:f>
      </x:c>
      <x:c r="O6" s="42" t="str">
        <x:f>IF(AND('План'!$C5&lt;=O$2+6,'План'!$D5&gt;=O$2),"■","")</x:f>
      </x:c>
      <x:c r="P6" s="42" t="str">
        <x:f>IF(AND('План'!$C5&lt;=P$2+6,'План'!$D5&gt;=P$2),"■","")</x:f>
      </x:c>
      <x:c r="Q6" s="42" t="str">
        <x:f>IF(AND('План'!$C5&lt;=Q$2+6,'План'!$D5&gt;=Q$2),"■","")</x:f>
      </x:c>
      <x:c r="R6" s="42" t="str">
        <x:f>IF(AND('План'!$C5&lt;=R$2+6,'План'!$D5&gt;=R$2),"■","")</x:f>
      </x:c>
      <x:c r="S6" s="42" t="str">
        <x:f>IF(AND('План'!$C5&lt;=S$2+6,'План'!$D5&gt;=S$2),"■","")</x:f>
      </x:c>
      <x:c r="T6" s="42" t="str">
        <x:f>IF(AND('План'!$C5&lt;=T$2+6,'План'!$D5&gt;=T$2),"■","")</x:f>
      </x:c>
      <x:c r="U6" s="42" t="str">
        <x:f>IF(AND('План'!$C5&lt;=U$2+6,'План'!$D5&gt;=U$2),"■","")</x:f>
      </x:c>
      <x:c r="V6" s="42" t="str">
        <x:f>IF(AND('План'!$C5&lt;=V$2+6,'План'!$D5&gt;=V$2),"■","")</x:f>
      </x:c>
      <x:c r="W6" s="42" t="str">
        <x:f>IF(AND('План'!$C5&lt;=W$2+6,'План'!$D5&gt;=W$2),"■","")</x:f>
      </x:c>
      <x:c r="X6" s="42" t="str">
        <x:f>IF(AND('План'!$C5&lt;=X$2+6,'План'!$D5&gt;=X$2),"■","")</x:f>
      </x:c>
      <x:c r="Y6" s="42" t="str">
        <x:f>IF(AND('План'!$C5&lt;=Y$2+6,'План'!$D5&gt;=Y$2),"■","")</x:f>
      </x:c>
      <x:c r="Z6" s="42" t="str">
        <x:f>IF(AND('План'!$C5&lt;=Z$2+6,'План'!$D5&gt;=Z$2),"■","")</x:f>
      </x:c>
      <x:c r="AA6" s="42" t="str">
        <x:f>IF(AND('План'!$C5&lt;=AA$2+6,'План'!$D5&gt;=AA$2),"■","")</x:f>
      </x:c>
      <x:c r="AB6" s="42" t="str">
        <x:f>IF(AND('План'!$C5&lt;=AB$2+6,'План'!$D5&gt;=AB$2),"■","")</x:f>
      </x:c>
      <x:c r="AC6" s="42" t="str">
        <x:f>IF(AND('План'!$C5&lt;=AC$2+6,'План'!$D5&gt;=AC$2),"■","")</x:f>
      </x:c>
      <x:c r="AD6" s="42" t="str">
        <x:f>IF(AND('План'!$C5&lt;=AD$2+6,'План'!$D5&gt;=AD$2),"■","")</x:f>
      </x:c>
      <x:c r="AE6" s="42" t="str">
        <x:f>IF(AND('План'!$C5&lt;=AE$2+6,'План'!$D5&gt;=AE$2),"■","")</x:f>
      </x:c>
      <x:c r="AF6" s="42" t="str">
        <x:f>IF(AND('План'!$C5&lt;=AF$2+6,'План'!$D5&gt;=AF$2),"■","")</x:f>
      </x:c>
      <x:c r="AG6" s="42" t="str">
        <x:f>IF(AND('План'!$C5&lt;=AG$2+6,'План'!$D5&gt;=AG$2),"■","")</x:f>
      </x:c>
      <x:c r="AH6" s="42" t="str">
        <x:f>IF(AND('План'!$C5&lt;=AH$2+6,'План'!$D5&gt;=AH$2),"■","")</x:f>
      </x:c>
      <x:c r="AI6" s="42" t="str">
        <x:f>IF(AND('План'!$C5&lt;=AI$2+6,'План'!$D5&gt;=AI$2),"■","")</x:f>
      </x:c>
      <x:c r="AJ6" s="42" t="str">
        <x:f>IF(AND('План'!$C5&lt;=AJ$2+6,'План'!$D5&gt;=AJ$2),"■","")</x:f>
      </x:c>
      <x:c r="AK6" s="42" t="str">
        <x:f>IF(AND('План'!$C5&lt;=AK$2+6,'План'!$D5&gt;=AK$2),"■","")</x:f>
      </x:c>
      <x:c r="AL6" s="42" t="str">
        <x:f>IF(AND('План'!$C5&lt;=AL$2+6,'План'!$D5&gt;=AL$2),"■","")</x:f>
      </x:c>
      <x:c r="AM6" s="42" t="str">
        <x:f>IF(AND('План'!$C5&lt;=AM$2+6,'План'!$D5&gt;=AM$2),"■","")</x:f>
      </x:c>
      <x:c r="AN6" s="42" t="str">
        <x:f>IF(AND('План'!$C5&lt;=AN$2+6,'План'!$D5&gt;=AN$2),"■","")</x:f>
      </x:c>
    </x:row>
    <x:row r="7" ht="22" customHeight="1">
      <x:c r="A7" t="str">
        <x:f>'План'!A6</x:f>
        <x:v>1.2.2</x:v>
      </x:c>
      <x:c r="B7" t="str">
        <x:f>'План'!B6</x:f>
        <x:v>Концепция, границы и KPI</x:v>
      </x:c>
      <x:c r="C7" t="str">
        <x:f>'План'!F6</x:f>
        <x:v>РП</x:v>
      </x:c>
      <x:c r="D7" s="2" t="n">
        <x:f>'План'!C6</x:f>
        <x:v>46356</x:v>
      </x:c>
      <x:c r="E7" s="2" t="n">
        <x:f>'План'!D6</x:f>
        <x:v>46360</x:v>
      </x:c>
      <x:c r="F7" s="42" t="str">
        <x:f>IF(AND('План'!$C6&lt;=F$2+6,'План'!$D6&gt;=F$2),"■","")</x:f>
      </x:c>
      <x:c r="G7" s="42" t="str">
        <x:f>IF(AND('План'!$C6&lt;=G$2+6,'План'!$D6&gt;=G$2),"■","")</x:f>
      </x:c>
      <x:c r="H7" s="42" t="str">
        <x:f>IF(AND('План'!$C6&lt;=H$2+6,'План'!$D6&gt;=H$2),"■","")</x:f>
      </x:c>
      <x:c r="I7" s="42" t="str">
        <x:f>IF(AND('План'!$C6&lt;=I$2+6,'План'!$D6&gt;=I$2),"■","")</x:f>
      </x:c>
      <x:c r="J7" s="42" t="str">
        <x:f>IF(AND('План'!$C6&lt;=J$2+6,'План'!$D6&gt;=J$2),"■","")</x:f>
        <x:v>■</x:v>
      </x:c>
      <x:c r="K7" s="42" t="str">
        <x:f>IF(AND('План'!$C6&lt;=K$2+6,'План'!$D6&gt;=K$2),"■","")</x:f>
      </x:c>
      <x:c r="L7" s="42" t="str">
        <x:f>IF(AND('План'!$C6&lt;=L$2+6,'План'!$D6&gt;=L$2),"■","")</x:f>
      </x:c>
      <x:c r="M7" s="42" t="str">
        <x:f>IF(AND('План'!$C6&lt;=M$2+6,'План'!$D6&gt;=M$2),"■","")</x:f>
      </x:c>
      <x:c r="N7" s="42" t="str">
        <x:f>IF(AND('План'!$C6&lt;=N$2+6,'План'!$D6&gt;=N$2),"■","")</x:f>
      </x:c>
      <x:c r="O7" s="42" t="str">
        <x:f>IF(AND('План'!$C6&lt;=O$2+6,'План'!$D6&gt;=O$2),"■","")</x:f>
      </x:c>
      <x:c r="P7" s="42" t="str">
        <x:f>IF(AND('План'!$C6&lt;=P$2+6,'План'!$D6&gt;=P$2),"■","")</x:f>
      </x:c>
      <x:c r="Q7" s="42" t="str">
        <x:f>IF(AND('План'!$C6&lt;=Q$2+6,'План'!$D6&gt;=Q$2),"■","")</x:f>
      </x:c>
      <x:c r="R7" s="42" t="str">
        <x:f>IF(AND('План'!$C6&lt;=R$2+6,'План'!$D6&gt;=R$2),"■","")</x:f>
      </x:c>
      <x:c r="S7" s="42" t="str">
        <x:f>IF(AND('План'!$C6&lt;=S$2+6,'План'!$D6&gt;=S$2),"■","")</x:f>
      </x:c>
      <x:c r="T7" s="42" t="str">
        <x:f>IF(AND('План'!$C6&lt;=T$2+6,'План'!$D6&gt;=T$2),"■","")</x:f>
      </x:c>
      <x:c r="U7" s="42" t="str">
        <x:f>IF(AND('План'!$C6&lt;=U$2+6,'План'!$D6&gt;=U$2),"■","")</x:f>
      </x:c>
      <x:c r="V7" s="42" t="str">
        <x:f>IF(AND('План'!$C6&lt;=V$2+6,'План'!$D6&gt;=V$2),"■","")</x:f>
      </x:c>
      <x:c r="W7" s="42" t="str">
        <x:f>IF(AND('План'!$C6&lt;=W$2+6,'План'!$D6&gt;=W$2),"■","")</x:f>
      </x:c>
      <x:c r="X7" s="42" t="str">
        <x:f>IF(AND('План'!$C6&lt;=X$2+6,'План'!$D6&gt;=X$2),"■","")</x:f>
      </x:c>
      <x:c r="Y7" s="42" t="str">
        <x:f>IF(AND('План'!$C6&lt;=Y$2+6,'План'!$D6&gt;=Y$2),"■","")</x:f>
      </x:c>
      <x:c r="Z7" s="42" t="str">
        <x:f>IF(AND('План'!$C6&lt;=Z$2+6,'План'!$D6&gt;=Z$2),"■","")</x:f>
      </x:c>
      <x:c r="AA7" s="42" t="str">
        <x:f>IF(AND('План'!$C6&lt;=AA$2+6,'План'!$D6&gt;=AA$2),"■","")</x:f>
      </x:c>
      <x:c r="AB7" s="42" t="str">
        <x:f>IF(AND('План'!$C6&lt;=AB$2+6,'План'!$D6&gt;=AB$2),"■","")</x:f>
      </x:c>
      <x:c r="AC7" s="42" t="str">
        <x:f>IF(AND('План'!$C6&lt;=AC$2+6,'План'!$D6&gt;=AC$2),"■","")</x:f>
      </x:c>
      <x:c r="AD7" s="42" t="str">
        <x:f>IF(AND('План'!$C6&lt;=AD$2+6,'План'!$D6&gt;=AD$2),"■","")</x:f>
      </x:c>
      <x:c r="AE7" s="42" t="str">
        <x:f>IF(AND('План'!$C6&lt;=AE$2+6,'План'!$D6&gt;=AE$2),"■","")</x:f>
      </x:c>
      <x:c r="AF7" s="42" t="str">
        <x:f>IF(AND('План'!$C6&lt;=AF$2+6,'План'!$D6&gt;=AF$2),"■","")</x:f>
      </x:c>
      <x:c r="AG7" s="42" t="str">
        <x:f>IF(AND('План'!$C6&lt;=AG$2+6,'План'!$D6&gt;=AG$2),"■","")</x:f>
      </x:c>
      <x:c r="AH7" s="42" t="str">
        <x:f>IF(AND('План'!$C6&lt;=AH$2+6,'План'!$D6&gt;=AH$2),"■","")</x:f>
      </x:c>
      <x:c r="AI7" s="42" t="str">
        <x:f>IF(AND('План'!$C6&lt;=AI$2+6,'План'!$D6&gt;=AI$2),"■","")</x:f>
      </x:c>
      <x:c r="AJ7" s="42" t="str">
        <x:f>IF(AND('План'!$C6&lt;=AJ$2+6,'План'!$D6&gt;=AJ$2),"■","")</x:f>
      </x:c>
      <x:c r="AK7" s="42" t="str">
        <x:f>IF(AND('План'!$C6&lt;=AK$2+6,'План'!$D6&gt;=AK$2),"■","")</x:f>
      </x:c>
      <x:c r="AL7" s="42" t="str">
        <x:f>IF(AND('План'!$C6&lt;=AL$2+6,'План'!$D6&gt;=AL$2),"■","")</x:f>
      </x:c>
      <x:c r="AM7" s="42" t="str">
        <x:f>IF(AND('План'!$C6&lt;=AM$2+6,'План'!$D6&gt;=AM$2),"■","")</x:f>
      </x:c>
      <x:c r="AN7" s="42" t="str">
        <x:f>IF(AND('План'!$C6&lt;=AN$2+6,'План'!$D6&gt;=AN$2),"■","")</x:f>
      </x:c>
    </x:row>
    <x:row r="8" ht="22" customHeight="1">
      <x:c r="A8" t="str">
        <x:f>'План'!A7</x:f>
        <x:v>2.1.1</x:v>
      </x:c>
      <x:c r="B8" t="str">
        <x:f>'План'!B7</x:f>
        <x:v>Сценарии применения DFD/IDEF0/BPMN/UML</x:v>
      </x:c>
      <x:c r="C8" t="str">
        <x:f>'План'!F7</x:f>
        <x:v>РП</x:v>
      </x:c>
      <x:c r="D8" s="2" t="n">
        <x:f>'План'!C7</x:f>
        <x:v>46363</x:v>
      </x:c>
      <x:c r="E8" s="2" t="n">
        <x:f>'План'!D7</x:f>
        <x:v>46374</x:v>
      </x:c>
      <x:c r="F8" s="42" t="str">
        <x:f>IF(AND('План'!$C7&lt;=F$2+6,'План'!$D7&gt;=F$2),"■","")</x:f>
      </x:c>
      <x:c r="G8" s="42" t="str">
        <x:f>IF(AND('План'!$C7&lt;=G$2+6,'План'!$D7&gt;=G$2),"■","")</x:f>
      </x:c>
      <x:c r="H8" s="42" t="str">
        <x:f>IF(AND('План'!$C7&lt;=H$2+6,'План'!$D7&gt;=H$2),"■","")</x:f>
      </x:c>
      <x:c r="I8" s="42" t="str">
        <x:f>IF(AND('План'!$C7&lt;=I$2+6,'План'!$D7&gt;=I$2),"■","")</x:f>
      </x:c>
      <x:c r="J8" s="42" t="str">
        <x:f>IF(AND('План'!$C7&lt;=J$2+6,'План'!$D7&gt;=J$2),"■","")</x:f>
      </x:c>
      <x:c r="K8" s="42" t="str">
        <x:f>IF(AND('План'!$C7&lt;=K$2+6,'План'!$D7&gt;=K$2),"■","")</x:f>
        <x:v>■</x:v>
      </x:c>
      <x:c r="L8" s="42" t="str">
        <x:f>IF(AND('План'!$C7&lt;=L$2+6,'План'!$D7&gt;=L$2),"■","")</x:f>
        <x:v>■</x:v>
      </x:c>
      <x:c r="M8" s="42" t="str">
        <x:f>IF(AND('План'!$C7&lt;=M$2+6,'План'!$D7&gt;=M$2),"■","")</x:f>
      </x:c>
      <x:c r="N8" s="42" t="str">
        <x:f>IF(AND('План'!$C7&lt;=N$2+6,'План'!$D7&gt;=N$2),"■","")</x:f>
      </x:c>
      <x:c r="O8" s="42" t="str">
        <x:f>IF(AND('План'!$C7&lt;=O$2+6,'План'!$D7&gt;=O$2),"■","")</x:f>
      </x:c>
      <x:c r="P8" s="42" t="str">
        <x:f>IF(AND('План'!$C7&lt;=P$2+6,'План'!$D7&gt;=P$2),"■","")</x:f>
      </x:c>
      <x:c r="Q8" s="42" t="str">
        <x:f>IF(AND('План'!$C7&lt;=Q$2+6,'План'!$D7&gt;=Q$2),"■","")</x:f>
      </x:c>
      <x:c r="R8" s="42" t="str">
        <x:f>IF(AND('План'!$C7&lt;=R$2+6,'План'!$D7&gt;=R$2),"■","")</x:f>
      </x:c>
      <x:c r="S8" s="42" t="str">
        <x:f>IF(AND('План'!$C7&lt;=S$2+6,'План'!$D7&gt;=S$2),"■","")</x:f>
      </x:c>
      <x:c r="T8" s="42" t="str">
        <x:f>IF(AND('План'!$C7&lt;=T$2+6,'План'!$D7&gt;=T$2),"■","")</x:f>
      </x:c>
      <x:c r="U8" s="42" t="str">
        <x:f>IF(AND('План'!$C7&lt;=U$2+6,'План'!$D7&gt;=U$2),"■","")</x:f>
      </x:c>
      <x:c r="V8" s="42" t="str">
        <x:f>IF(AND('План'!$C7&lt;=V$2+6,'План'!$D7&gt;=V$2),"■","")</x:f>
      </x:c>
      <x:c r="W8" s="42" t="str">
        <x:f>IF(AND('План'!$C7&lt;=W$2+6,'План'!$D7&gt;=W$2),"■","")</x:f>
      </x:c>
      <x:c r="X8" s="42" t="str">
        <x:f>IF(AND('План'!$C7&lt;=X$2+6,'План'!$D7&gt;=X$2),"■","")</x:f>
      </x:c>
      <x:c r="Y8" s="42" t="str">
        <x:f>IF(AND('План'!$C7&lt;=Y$2+6,'План'!$D7&gt;=Y$2),"■","")</x:f>
      </x:c>
      <x:c r="Z8" s="42" t="str">
        <x:f>IF(AND('План'!$C7&lt;=Z$2+6,'План'!$D7&gt;=Z$2),"■","")</x:f>
      </x:c>
      <x:c r="AA8" s="42" t="str">
        <x:f>IF(AND('План'!$C7&lt;=AA$2+6,'План'!$D7&gt;=AA$2),"■","")</x:f>
      </x:c>
      <x:c r="AB8" s="42" t="str">
        <x:f>IF(AND('План'!$C7&lt;=AB$2+6,'План'!$D7&gt;=AB$2),"■","")</x:f>
      </x:c>
      <x:c r="AC8" s="42" t="str">
        <x:f>IF(AND('План'!$C7&lt;=AC$2+6,'План'!$D7&gt;=AC$2),"■","")</x:f>
      </x:c>
      <x:c r="AD8" s="42" t="str">
        <x:f>IF(AND('План'!$C7&lt;=AD$2+6,'План'!$D7&gt;=AD$2),"■","")</x:f>
      </x:c>
      <x:c r="AE8" s="42" t="str">
        <x:f>IF(AND('План'!$C7&lt;=AE$2+6,'План'!$D7&gt;=AE$2),"■","")</x:f>
      </x:c>
      <x:c r="AF8" s="42" t="str">
        <x:f>IF(AND('План'!$C7&lt;=AF$2+6,'План'!$D7&gt;=AF$2),"■","")</x:f>
      </x:c>
      <x:c r="AG8" s="42" t="str">
        <x:f>IF(AND('План'!$C7&lt;=AG$2+6,'План'!$D7&gt;=AG$2),"■","")</x:f>
      </x:c>
      <x:c r="AH8" s="42" t="str">
        <x:f>IF(AND('План'!$C7&lt;=AH$2+6,'План'!$D7&gt;=AH$2),"■","")</x:f>
      </x:c>
      <x:c r="AI8" s="42" t="str">
        <x:f>IF(AND('План'!$C7&lt;=AI$2+6,'План'!$D7&gt;=AI$2),"■","")</x:f>
      </x:c>
      <x:c r="AJ8" s="42" t="str">
        <x:f>IF(AND('План'!$C7&lt;=AJ$2+6,'План'!$D7&gt;=AJ$2),"■","")</x:f>
      </x:c>
      <x:c r="AK8" s="42" t="str">
        <x:f>IF(AND('План'!$C7&lt;=AK$2+6,'План'!$D7&gt;=AK$2),"■","")</x:f>
      </x:c>
      <x:c r="AL8" s="42" t="str">
        <x:f>IF(AND('План'!$C7&lt;=AL$2+6,'План'!$D7&gt;=AL$2),"■","")</x:f>
      </x:c>
      <x:c r="AM8" s="42" t="str">
        <x:f>IF(AND('План'!$C7&lt;=AM$2+6,'План'!$D7&gt;=AM$2),"■","")</x:f>
      </x:c>
      <x:c r="AN8" s="42" t="str">
        <x:f>IF(AND('План'!$C7&lt;=AN$2+6,'План'!$D7&gt;=AN$2),"■","")</x:f>
      </x:c>
    </x:row>
    <x:row r="9" ht="22" customHeight="1">
      <x:c r="A9" t="str">
        <x:f>'План'!A8</x:f>
        <x:v>2.1.2</x:v>
      </x:c>
      <x:c r="B9" t="str">
        <x:f>'План'!B8</x:f>
        <x:v>Функциональные требования</x:v>
      </x:c>
      <x:c r="C9" t="str">
        <x:f>'План'!F8</x:f>
        <x:v>РП</x:v>
      </x:c>
      <x:c r="D9" s="2" t="n">
        <x:f>'План'!C8</x:f>
        <x:v>46370</x:v>
      </x:c>
      <x:c r="E9" s="2" t="n">
        <x:f>'План'!D8</x:f>
        <x:v>46395</x:v>
      </x:c>
      <x:c r="F9" s="42" t="str">
        <x:f>IF(AND('План'!$C8&lt;=F$2+6,'План'!$D8&gt;=F$2),"■","")</x:f>
      </x:c>
      <x:c r="G9" s="42" t="str">
        <x:f>IF(AND('План'!$C8&lt;=G$2+6,'План'!$D8&gt;=G$2),"■","")</x:f>
      </x:c>
      <x:c r="H9" s="42" t="str">
        <x:f>IF(AND('План'!$C8&lt;=H$2+6,'План'!$D8&gt;=H$2),"■","")</x:f>
      </x:c>
      <x:c r="I9" s="42" t="str">
        <x:f>IF(AND('План'!$C8&lt;=I$2+6,'План'!$D8&gt;=I$2),"■","")</x:f>
      </x:c>
      <x:c r="J9" s="42" t="str">
        <x:f>IF(AND('План'!$C8&lt;=J$2+6,'План'!$D8&gt;=J$2),"■","")</x:f>
      </x:c>
      <x:c r="K9" s="42" t="str">
        <x:f>IF(AND('План'!$C8&lt;=K$2+6,'План'!$D8&gt;=K$2),"■","")</x:f>
      </x:c>
      <x:c r="L9" s="42" t="str">
        <x:f>IF(AND('План'!$C8&lt;=L$2+6,'План'!$D8&gt;=L$2),"■","")</x:f>
        <x:v>■</x:v>
      </x:c>
      <x:c r="M9" s="42" t="str">
        <x:f>IF(AND('План'!$C8&lt;=M$2+6,'План'!$D8&gt;=M$2),"■","")</x:f>
        <x:v>■</x:v>
      </x:c>
      <x:c r="N9" s="42" t="str">
        <x:f>IF(AND('План'!$C8&lt;=N$2+6,'План'!$D8&gt;=N$2),"■","")</x:f>
        <x:v>■</x:v>
      </x:c>
      <x:c r="O9" s="42" t="str">
        <x:f>IF(AND('План'!$C8&lt;=O$2+6,'План'!$D8&gt;=O$2),"■","")</x:f>
        <x:v>■</x:v>
      </x:c>
      <x:c r="P9" s="42" t="str">
        <x:f>IF(AND('План'!$C8&lt;=P$2+6,'План'!$D8&gt;=P$2),"■","")</x:f>
      </x:c>
      <x:c r="Q9" s="42" t="str">
        <x:f>IF(AND('План'!$C8&lt;=Q$2+6,'План'!$D8&gt;=Q$2),"■","")</x:f>
      </x:c>
      <x:c r="R9" s="42" t="str">
        <x:f>IF(AND('План'!$C8&lt;=R$2+6,'План'!$D8&gt;=R$2),"■","")</x:f>
      </x:c>
      <x:c r="S9" s="42" t="str">
        <x:f>IF(AND('План'!$C8&lt;=S$2+6,'План'!$D8&gt;=S$2),"■","")</x:f>
      </x:c>
      <x:c r="T9" s="42" t="str">
        <x:f>IF(AND('План'!$C8&lt;=T$2+6,'План'!$D8&gt;=T$2),"■","")</x:f>
      </x:c>
      <x:c r="U9" s="42" t="str">
        <x:f>IF(AND('План'!$C8&lt;=U$2+6,'План'!$D8&gt;=U$2),"■","")</x:f>
      </x:c>
      <x:c r="V9" s="42" t="str">
        <x:f>IF(AND('План'!$C8&lt;=V$2+6,'План'!$D8&gt;=V$2),"■","")</x:f>
      </x:c>
      <x:c r="W9" s="42" t="str">
        <x:f>IF(AND('План'!$C8&lt;=W$2+6,'План'!$D8&gt;=W$2),"■","")</x:f>
      </x:c>
      <x:c r="X9" s="42" t="str">
        <x:f>IF(AND('План'!$C8&lt;=X$2+6,'План'!$D8&gt;=X$2),"■","")</x:f>
      </x:c>
      <x:c r="Y9" s="42" t="str">
        <x:f>IF(AND('План'!$C8&lt;=Y$2+6,'План'!$D8&gt;=Y$2),"■","")</x:f>
      </x:c>
      <x:c r="Z9" s="42" t="str">
        <x:f>IF(AND('План'!$C8&lt;=Z$2+6,'План'!$D8&gt;=Z$2),"■","")</x:f>
      </x:c>
      <x:c r="AA9" s="42" t="str">
        <x:f>IF(AND('План'!$C8&lt;=AA$2+6,'План'!$D8&gt;=AA$2),"■","")</x:f>
      </x:c>
      <x:c r="AB9" s="42" t="str">
        <x:f>IF(AND('План'!$C8&lt;=AB$2+6,'План'!$D8&gt;=AB$2),"■","")</x:f>
      </x:c>
      <x:c r="AC9" s="42" t="str">
        <x:f>IF(AND('План'!$C8&lt;=AC$2+6,'План'!$D8&gt;=AC$2),"■","")</x:f>
      </x:c>
      <x:c r="AD9" s="42" t="str">
        <x:f>IF(AND('План'!$C8&lt;=AD$2+6,'План'!$D8&gt;=AD$2),"■","")</x:f>
      </x:c>
      <x:c r="AE9" s="42" t="str">
        <x:f>IF(AND('План'!$C8&lt;=AE$2+6,'План'!$D8&gt;=AE$2),"■","")</x:f>
      </x:c>
      <x:c r="AF9" s="42" t="str">
        <x:f>IF(AND('План'!$C8&lt;=AF$2+6,'План'!$D8&gt;=AF$2),"■","")</x:f>
      </x:c>
      <x:c r="AG9" s="42" t="str">
        <x:f>IF(AND('План'!$C8&lt;=AG$2+6,'План'!$D8&gt;=AG$2),"■","")</x:f>
      </x:c>
      <x:c r="AH9" s="42" t="str">
        <x:f>IF(AND('План'!$C8&lt;=AH$2+6,'План'!$D8&gt;=AH$2),"■","")</x:f>
      </x:c>
      <x:c r="AI9" s="42" t="str">
        <x:f>IF(AND('План'!$C8&lt;=AI$2+6,'План'!$D8&gt;=AI$2),"■","")</x:f>
      </x:c>
      <x:c r="AJ9" s="42" t="str">
        <x:f>IF(AND('План'!$C8&lt;=AJ$2+6,'План'!$D8&gt;=AJ$2),"■","")</x:f>
      </x:c>
      <x:c r="AK9" s="42" t="str">
        <x:f>IF(AND('План'!$C8&lt;=AK$2+6,'План'!$D8&gt;=AK$2),"■","")</x:f>
      </x:c>
      <x:c r="AL9" s="42" t="str">
        <x:f>IF(AND('План'!$C8&lt;=AL$2+6,'План'!$D8&gt;=AL$2),"■","")</x:f>
      </x:c>
      <x:c r="AM9" s="42" t="str">
        <x:f>IF(AND('План'!$C8&lt;=AM$2+6,'План'!$D8&gt;=AM$2),"■","")</x:f>
      </x:c>
      <x:c r="AN9" s="42" t="str">
        <x:f>IF(AND('План'!$C8&lt;=AN$2+6,'План'!$D8&gt;=AN$2),"■","")</x:f>
      </x:c>
    </x:row>
    <x:row r="10" ht="22" customHeight="1">
      <x:c r="A10" t="str">
        <x:f>'План'!A9</x:f>
        <x:v>2.1.3</x:v>
      </x:c>
      <x:c r="B10" t="str">
        <x:f>'План'!B9</x:f>
        <x:v>Профили нотаций и критерии приёмки</x:v>
      </x:c>
      <x:c r="C10" t="str">
        <x:f>'План'!F9</x:f>
        <x:v>ИН</x:v>
      </x:c>
      <x:c r="D10" s="2" t="n">
        <x:f>'План'!C9</x:f>
        <x:v>46377</x:v>
      </x:c>
      <x:c r="E10" s="2" t="n">
        <x:f>'План'!D9</x:f>
        <x:v>46395</x:v>
      </x:c>
      <x:c r="F10" s="42" t="str">
        <x:f>IF(AND('План'!$C9&lt;=F$2+6,'План'!$D9&gt;=F$2),"■","")</x:f>
      </x:c>
      <x:c r="G10" s="42" t="str">
        <x:f>IF(AND('План'!$C9&lt;=G$2+6,'План'!$D9&gt;=G$2),"■","")</x:f>
      </x:c>
      <x:c r="H10" s="42" t="str">
        <x:f>IF(AND('План'!$C9&lt;=H$2+6,'План'!$D9&gt;=H$2),"■","")</x:f>
      </x:c>
      <x:c r="I10" s="42" t="str">
        <x:f>IF(AND('План'!$C9&lt;=I$2+6,'План'!$D9&gt;=I$2),"■","")</x:f>
      </x:c>
      <x:c r="J10" s="42" t="str">
        <x:f>IF(AND('План'!$C9&lt;=J$2+6,'План'!$D9&gt;=J$2),"■","")</x:f>
      </x:c>
      <x:c r="K10" s="42" t="str">
        <x:f>IF(AND('План'!$C9&lt;=K$2+6,'План'!$D9&gt;=K$2),"■","")</x:f>
      </x:c>
      <x:c r="L10" s="42" t="str">
        <x:f>IF(AND('План'!$C9&lt;=L$2+6,'План'!$D9&gt;=L$2),"■","")</x:f>
      </x:c>
      <x:c r="M10" s="42" t="str">
        <x:f>IF(AND('План'!$C9&lt;=M$2+6,'План'!$D9&gt;=M$2),"■","")</x:f>
        <x:v>■</x:v>
      </x:c>
      <x:c r="N10" s="42" t="str">
        <x:f>IF(AND('План'!$C9&lt;=N$2+6,'План'!$D9&gt;=N$2),"■","")</x:f>
        <x:v>■</x:v>
      </x:c>
      <x:c r="O10" s="42" t="str">
        <x:f>IF(AND('План'!$C9&lt;=O$2+6,'План'!$D9&gt;=O$2),"■","")</x:f>
        <x:v>■</x:v>
      </x:c>
      <x:c r="P10" s="42" t="str">
        <x:f>IF(AND('План'!$C9&lt;=P$2+6,'План'!$D9&gt;=P$2),"■","")</x:f>
      </x:c>
      <x:c r="Q10" s="42" t="str">
        <x:f>IF(AND('План'!$C9&lt;=Q$2+6,'План'!$D9&gt;=Q$2),"■","")</x:f>
      </x:c>
      <x:c r="R10" s="42" t="str">
        <x:f>IF(AND('План'!$C9&lt;=R$2+6,'План'!$D9&gt;=R$2),"■","")</x:f>
      </x:c>
      <x:c r="S10" s="42" t="str">
        <x:f>IF(AND('План'!$C9&lt;=S$2+6,'План'!$D9&gt;=S$2),"■","")</x:f>
      </x:c>
      <x:c r="T10" s="42" t="str">
        <x:f>IF(AND('План'!$C9&lt;=T$2+6,'План'!$D9&gt;=T$2),"■","")</x:f>
      </x:c>
      <x:c r="U10" s="42" t="str">
        <x:f>IF(AND('План'!$C9&lt;=U$2+6,'План'!$D9&gt;=U$2),"■","")</x:f>
      </x:c>
      <x:c r="V10" s="42" t="str">
        <x:f>IF(AND('План'!$C9&lt;=V$2+6,'План'!$D9&gt;=V$2),"■","")</x:f>
      </x:c>
      <x:c r="W10" s="42" t="str">
        <x:f>IF(AND('План'!$C9&lt;=W$2+6,'План'!$D9&gt;=W$2),"■","")</x:f>
      </x:c>
      <x:c r="X10" s="42" t="str">
        <x:f>IF(AND('План'!$C9&lt;=X$2+6,'План'!$D9&gt;=X$2),"■","")</x:f>
      </x:c>
      <x:c r="Y10" s="42" t="str">
        <x:f>IF(AND('План'!$C9&lt;=Y$2+6,'План'!$D9&gt;=Y$2),"■","")</x:f>
      </x:c>
      <x:c r="Z10" s="42" t="str">
        <x:f>IF(AND('План'!$C9&lt;=Z$2+6,'План'!$D9&gt;=Z$2),"■","")</x:f>
      </x:c>
      <x:c r="AA10" s="42" t="str">
        <x:f>IF(AND('План'!$C9&lt;=AA$2+6,'План'!$D9&gt;=AA$2),"■","")</x:f>
      </x:c>
      <x:c r="AB10" s="42" t="str">
        <x:f>IF(AND('План'!$C9&lt;=AB$2+6,'План'!$D9&gt;=AB$2),"■","")</x:f>
      </x:c>
      <x:c r="AC10" s="42" t="str">
        <x:f>IF(AND('План'!$C9&lt;=AC$2+6,'План'!$D9&gt;=AC$2),"■","")</x:f>
      </x:c>
      <x:c r="AD10" s="42" t="str">
        <x:f>IF(AND('План'!$C9&lt;=AD$2+6,'План'!$D9&gt;=AD$2),"■","")</x:f>
      </x:c>
      <x:c r="AE10" s="42" t="str">
        <x:f>IF(AND('План'!$C9&lt;=AE$2+6,'План'!$D9&gt;=AE$2),"■","")</x:f>
      </x:c>
      <x:c r="AF10" s="42" t="str">
        <x:f>IF(AND('План'!$C9&lt;=AF$2+6,'План'!$D9&gt;=AF$2),"■","")</x:f>
      </x:c>
      <x:c r="AG10" s="42" t="str">
        <x:f>IF(AND('План'!$C9&lt;=AG$2+6,'План'!$D9&gt;=AG$2),"■","")</x:f>
      </x:c>
      <x:c r="AH10" s="42" t="str">
        <x:f>IF(AND('План'!$C9&lt;=AH$2+6,'План'!$D9&gt;=AH$2),"■","")</x:f>
      </x:c>
      <x:c r="AI10" s="42" t="str">
        <x:f>IF(AND('План'!$C9&lt;=AI$2+6,'План'!$D9&gt;=AI$2),"■","")</x:f>
      </x:c>
      <x:c r="AJ10" s="42" t="str">
        <x:f>IF(AND('План'!$C9&lt;=AJ$2+6,'План'!$D9&gt;=AJ$2),"■","")</x:f>
      </x:c>
      <x:c r="AK10" s="42" t="str">
        <x:f>IF(AND('План'!$C9&lt;=AK$2+6,'План'!$D9&gt;=AK$2),"■","")</x:f>
      </x:c>
      <x:c r="AL10" s="42" t="str">
        <x:f>IF(AND('План'!$C9&lt;=AL$2+6,'План'!$D9&gt;=AL$2),"■","")</x:f>
      </x:c>
      <x:c r="AM10" s="42" t="str">
        <x:f>IF(AND('План'!$C9&lt;=AM$2+6,'План'!$D9&gt;=AM$2),"■","")</x:f>
      </x:c>
      <x:c r="AN10" s="42" t="str">
        <x:f>IF(AND('План'!$C9&lt;=AN$2+6,'План'!$D9&gt;=AN$2),"■","")</x:f>
      </x:c>
    </x:row>
    <x:row r="11" ht="22" customHeight="1">
      <x:c r="A11" t="str">
        <x:f>'План'!A10</x:f>
        <x:v>2.2.1</x:v>
      </x:c>
      <x:c r="B11" t="str">
        <x:f>'План'!B10</x:f>
        <x:v>Прототипы сценариев и интерфейса</x:v>
      </x:c>
      <x:c r="C11" t="str">
        <x:f>'План'!F10</x:f>
        <x:v>UX</x:v>
      </x:c>
      <x:c r="D11" s="2" t="n">
        <x:f>'План'!C10</x:f>
        <x:v>46370</x:v>
      </x:c>
      <x:c r="E11" s="2" t="n">
        <x:f>'План'!D10</x:f>
        <x:v>46395</x:v>
      </x:c>
      <x:c r="F11" s="42" t="str">
        <x:f>IF(AND('План'!$C10&lt;=F$2+6,'План'!$D10&gt;=F$2),"■","")</x:f>
      </x:c>
      <x:c r="G11" s="42" t="str">
        <x:f>IF(AND('План'!$C10&lt;=G$2+6,'План'!$D10&gt;=G$2),"■","")</x:f>
      </x:c>
      <x:c r="H11" s="42" t="str">
        <x:f>IF(AND('План'!$C10&lt;=H$2+6,'План'!$D10&gt;=H$2),"■","")</x:f>
      </x:c>
      <x:c r="I11" s="42" t="str">
        <x:f>IF(AND('План'!$C10&lt;=I$2+6,'План'!$D10&gt;=I$2),"■","")</x:f>
      </x:c>
      <x:c r="J11" s="42" t="str">
        <x:f>IF(AND('План'!$C10&lt;=J$2+6,'План'!$D10&gt;=J$2),"■","")</x:f>
      </x:c>
      <x:c r="K11" s="42" t="str">
        <x:f>IF(AND('План'!$C10&lt;=K$2+6,'План'!$D10&gt;=K$2),"■","")</x:f>
      </x:c>
      <x:c r="L11" s="42" t="str">
        <x:f>IF(AND('План'!$C10&lt;=L$2+6,'План'!$D10&gt;=L$2),"■","")</x:f>
        <x:v>■</x:v>
      </x:c>
      <x:c r="M11" s="42" t="str">
        <x:f>IF(AND('План'!$C10&lt;=M$2+6,'План'!$D10&gt;=M$2),"■","")</x:f>
        <x:v>■</x:v>
      </x:c>
      <x:c r="N11" s="42" t="str">
        <x:f>IF(AND('План'!$C10&lt;=N$2+6,'План'!$D10&gt;=N$2),"■","")</x:f>
        <x:v>■</x:v>
      </x:c>
      <x:c r="O11" s="42" t="str">
        <x:f>IF(AND('План'!$C10&lt;=O$2+6,'План'!$D10&gt;=O$2),"■","")</x:f>
        <x:v>■</x:v>
      </x:c>
      <x:c r="P11" s="42" t="str">
        <x:f>IF(AND('План'!$C10&lt;=P$2+6,'План'!$D10&gt;=P$2),"■","")</x:f>
      </x:c>
      <x:c r="Q11" s="42" t="str">
        <x:f>IF(AND('План'!$C10&lt;=Q$2+6,'План'!$D10&gt;=Q$2),"■","")</x:f>
      </x:c>
      <x:c r="R11" s="42" t="str">
        <x:f>IF(AND('План'!$C10&lt;=R$2+6,'План'!$D10&gt;=R$2),"■","")</x:f>
      </x:c>
      <x:c r="S11" s="42" t="str">
        <x:f>IF(AND('План'!$C10&lt;=S$2+6,'План'!$D10&gt;=S$2),"■","")</x:f>
      </x:c>
      <x:c r="T11" s="42" t="str">
        <x:f>IF(AND('План'!$C10&lt;=T$2+6,'План'!$D10&gt;=T$2),"■","")</x:f>
      </x:c>
      <x:c r="U11" s="42" t="str">
        <x:f>IF(AND('План'!$C10&lt;=U$2+6,'План'!$D10&gt;=U$2),"■","")</x:f>
      </x:c>
      <x:c r="V11" s="42" t="str">
        <x:f>IF(AND('План'!$C10&lt;=V$2+6,'План'!$D10&gt;=V$2),"■","")</x:f>
      </x:c>
      <x:c r="W11" s="42" t="str">
        <x:f>IF(AND('План'!$C10&lt;=W$2+6,'План'!$D10&gt;=W$2),"■","")</x:f>
      </x:c>
      <x:c r="X11" s="42" t="str">
        <x:f>IF(AND('План'!$C10&lt;=X$2+6,'План'!$D10&gt;=X$2),"■","")</x:f>
      </x:c>
      <x:c r="Y11" s="42" t="str">
        <x:f>IF(AND('План'!$C10&lt;=Y$2+6,'План'!$D10&gt;=Y$2),"■","")</x:f>
      </x:c>
      <x:c r="Z11" s="42" t="str">
        <x:f>IF(AND('План'!$C10&lt;=Z$2+6,'План'!$D10&gt;=Z$2),"■","")</x:f>
      </x:c>
      <x:c r="AA11" s="42" t="str">
        <x:f>IF(AND('План'!$C10&lt;=AA$2+6,'План'!$D10&gt;=AA$2),"■","")</x:f>
      </x:c>
      <x:c r="AB11" s="42" t="str">
        <x:f>IF(AND('План'!$C10&lt;=AB$2+6,'План'!$D10&gt;=AB$2),"■","")</x:f>
      </x:c>
      <x:c r="AC11" s="42" t="str">
        <x:f>IF(AND('План'!$C10&lt;=AC$2+6,'План'!$D10&gt;=AC$2),"■","")</x:f>
      </x:c>
      <x:c r="AD11" s="42" t="str">
        <x:f>IF(AND('План'!$C10&lt;=AD$2+6,'План'!$D10&gt;=AD$2),"■","")</x:f>
      </x:c>
      <x:c r="AE11" s="42" t="str">
        <x:f>IF(AND('План'!$C10&lt;=AE$2+6,'План'!$D10&gt;=AE$2),"■","")</x:f>
      </x:c>
      <x:c r="AF11" s="42" t="str">
        <x:f>IF(AND('План'!$C10&lt;=AF$2+6,'План'!$D10&gt;=AF$2),"■","")</x:f>
      </x:c>
      <x:c r="AG11" s="42" t="str">
        <x:f>IF(AND('План'!$C10&lt;=AG$2+6,'План'!$D10&gt;=AG$2),"■","")</x:f>
      </x:c>
      <x:c r="AH11" s="42" t="str">
        <x:f>IF(AND('План'!$C10&lt;=AH$2+6,'План'!$D10&gt;=AH$2),"■","")</x:f>
      </x:c>
      <x:c r="AI11" s="42" t="str">
        <x:f>IF(AND('План'!$C10&lt;=AI$2+6,'План'!$D10&gt;=AI$2),"■","")</x:f>
      </x:c>
      <x:c r="AJ11" s="42" t="str">
        <x:f>IF(AND('План'!$C10&lt;=AJ$2+6,'План'!$D10&gt;=AJ$2),"■","")</x:f>
      </x:c>
      <x:c r="AK11" s="42" t="str">
        <x:f>IF(AND('План'!$C10&lt;=AK$2+6,'План'!$D10&gt;=AK$2),"■","")</x:f>
      </x:c>
      <x:c r="AL11" s="42" t="str">
        <x:f>IF(AND('План'!$C10&lt;=AL$2+6,'План'!$D10&gt;=AL$2),"■","")</x:f>
      </x:c>
      <x:c r="AM11" s="42" t="str">
        <x:f>IF(AND('План'!$C10&lt;=AM$2+6,'План'!$D10&gt;=AM$2),"■","")</x:f>
      </x:c>
      <x:c r="AN11" s="42" t="str">
        <x:f>IF(AND('План'!$C10&lt;=AN$2+6,'План'!$D10&gt;=AN$2),"■","")</x:f>
      </x:c>
    </x:row>
    <x:row r="12" ht="22" customHeight="1">
      <x:c r="A12" t="str">
        <x:f>'План'!A11</x:f>
        <x:v>2.2.2</x:v>
      </x:c>
      <x:c r="B12" t="str">
        <x:f>'План'!B11</x:f>
        <x:v>Приоритетный бэклог и оценки</x:v>
      </x:c>
      <x:c r="C12" t="str">
        <x:f>'План'!F11</x:f>
        <x:v>РП</x:v>
      </x:c>
      <x:c r="D12" s="2" t="n">
        <x:f>'План'!C11</x:f>
        <x:v>46398</x:v>
      </x:c>
      <x:c r="E12" s="2" t="n">
        <x:f>'План'!D11</x:f>
        <x:v>46409</x:v>
      </x:c>
      <x:c r="F12" s="42" t="str">
        <x:f>IF(AND('План'!$C11&lt;=F$2+6,'План'!$D11&gt;=F$2),"■","")</x:f>
      </x:c>
      <x:c r="G12" s="42" t="str">
        <x:f>IF(AND('План'!$C11&lt;=G$2+6,'План'!$D11&gt;=G$2),"■","")</x:f>
      </x:c>
      <x:c r="H12" s="42" t="str">
        <x:f>IF(AND('План'!$C11&lt;=H$2+6,'План'!$D11&gt;=H$2),"■","")</x:f>
      </x:c>
      <x:c r="I12" s="42" t="str">
        <x:f>IF(AND('План'!$C11&lt;=I$2+6,'План'!$D11&gt;=I$2),"■","")</x:f>
      </x:c>
      <x:c r="J12" s="42" t="str">
        <x:f>IF(AND('План'!$C11&lt;=J$2+6,'План'!$D11&gt;=J$2),"■","")</x:f>
      </x:c>
      <x:c r="K12" s="42" t="str">
        <x:f>IF(AND('План'!$C11&lt;=K$2+6,'План'!$D11&gt;=K$2),"■","")</x:f>
      </x:c>
      <x:c r="L12" s="42" t="str">
        <x:f>IF(AND('План'!$C11&lt;=L$2+6,'План'!$D11&gt;=L$2),"■","")</x:f>
      </x:c>
      <x:c r="M12" s="42" t="str">
        <x:f>IF(AND('План'!$C11&lt;=M$2+6,'План'!$D11&gt;=M$2),"■","")</x:f>
      </x:c>
      <x:c r="N12" s="42" t="str">
        <x:f>IF(AND('План'!$C11&lt;=N$2+6,'План'!$D11&gt;=N$2),"■","")</x:f>
      </x:c>
      <x:c r="O12" s="42" t="str">
        <x:f>IF(AND('План'!$C11&lt;=O$2+6,'План'!$D11&gt;=O$2),"■","")</x:f>
      </x:c>
      <x:c r="P12" s="42" t="str">
        <x:f>IF(AND('План'!$C11&lt;=P$2+6,'План'!$D11&gt;=P$2),"■","")</x:f>
        <x:v>■</x:v>
      </x:c>
      <x:c r="Q12" s="42" t="str">
        <x:f>IF(AND('План'!$C11&lt;=Q$2+6,'План'!$D11&gt;=Q$2),"■","")</x:f>
        <x:v>■</x:v>
      </x:c>
      <x:c r="R12" s="42" t="str">
        <x:f>IF(AND('План'!$C11&lt;=R$2+6,'План'!$D11&gt;=R$2),"■","")</x:f>
      </x:c>
      <x:c r="S12" s="42" t="str">
        <x:f>IF(AND('План'!$C11&lt;=S$2+6,'План'!$D11&gt;=S$2),"■","")</x:f>
      </x:c>
      <x:c r="T12" s="42" t="str">
        <x:f>IF(AND('План'!$C11&lt;=T$2+6,'План'!$D11&gt;=T$2),"■","")</x:f>
      </x:c>
      <x:c r="U12" s="42" t="str">
        <x:f>IF(AND('План'!$C11&lt;=U$2+6,'План'!$D11&gt;=U$2),"■","")</x:f>
      </x:c>
      <x:c r="V12" s="42" t="str">
        <x:f>IF(AND('План'!$C11&lt;=V$2+6,'План'!$D11&gt;=V$2),"■","")</x:f>
      </x:c>
      <x:c r="W12" s="42" t="str">
        <x:f>IF(AND('План'!$C11&lt;=W$2+6,'План'!$D11&gt;=W$2),"■","")</x:f>
      </x:c>
      <x:c r="X12" s="42" t="str">
        <x:f>IF(AND('План'!$C11&lt;=X$2+6,'План'!$D11&gt;=X$2),"■","")</x:f>
      </x:c>
      <x:c r="Y12" s="42" t="str">
        <x:f>IF(AND('План'!$C11&lt;=Y$2+6,'План'!$D11&gt;=Y$2),"■","")</x:f>
      </x:c>
      <x:c r="Z12" s="42" t="str">
        <x:f>IF(AND('План'!$C11&lt;=Z$2+6,'План'!$D11&gt;=Z$2),"■","")</x:f>
      </x:c>
      <x:c r="AA12" s="42" t="str">
        <x:f>IF(AND('План'!$C11&lt;=AA$2+6,'План'!$D11&gt;=AA$2),"■","")</x:f>
      </x:c>
      <x:c r="AB12" s="42" t="str">
        <x:f>IF(AND('План'!$C11&lt;=AB$2+6,'План'!$D11&gt;=AB$2),"■","")</x:f>
      </x:c>
      <x:c r="AC12" s="42" t="str">
        <x:f>IF(AND('План'!$C11&lt;=AC$2+6,'План'!$D11&gt;=AC$2),"■","")</x:f>
      </x:c>
      <x:c r="AD12" s="42" t="str">
        <x:f>IF(AND('План'!$C11&lt;=AD$2+6,'План'!$D11&gt;=AD$2),"■","")</x:f>
      </x:c>
      <x:c r="AE12" s="42" t="str">
        <x:f>IF(AND('План'!$C11&lt;=AE$2+6,'План'!$D11&gt;=AE$2),"■","")</x:f>
      </x:c>
      <x:c r="AF12" s="42" t="str">
        <x:f>IF(AND('План'!$C11&lt;=AF$2+6,'План'!$D11&gt;=AF$2),"■","")</x:f>
      </x:c>
      <x:c r="AG12" s="42" t="str">
        <x:f>IF(AND('План'!$C11&lt;=AG$2+6,'План'!$D11&gt;=AG$2),"■","")</x:f>
      </x:c>
      <x:c r="AH12" s="42" t="str">
        <x:f>IF(AND('План'!$C11&lt;=AH$2+6,'План'!$D11&gt;=AH$2),"■","")</x:f>
      </x:c>
      <x:c r="AI12" s="42" t="str">
        <x:f>IF(AND('План'!$C11&lt;=AI$2+6,'План'!$D11&gt;=AI$2),"■","")</x:f>
      </x:c>
      <x:c r="AJ12" s="42" t="str">
        <x:f>IF(AND('План'!$C11&lt;=AJ$2+6,'План'!$D11&gt;=AJ$2),"■","")</x:f>
      </x:c>
      <x:c r="AK12" s="42" t="str">
        <x:f>IF(AND('План'!$C11&lt;=AK$2+6,'План'!$D11&gt;=AK$2),"■","")</x:f>
      </x:c>
      <x:c r="AL12" s="42" t="str">
        <x:f>IF(AND('План'!$C11&lt;=AL$2+6,'План'!$D11&gt;=AL$2),"■","")</x:f>
      </x:c>
      <x:c r="AM12" s="42" t="str">
        <x:f>IF(AND('План'!$C11&lt;=AM$2+6,'План'!$D11&gt;=AM$2),"■","")</x:f>
      </x:c>
      <x:c r="AN12" s="42" t="str">
        <x:f>IF(AND('План'!$C11&lt;=AN$2+6,'План'!$D11&gt;=AN$2),"■","")</x:f>
      </x:c>
    </x:row>
    <x:row r="13" ht="22" customHeight="1">
      <x:c r="A13" t="str">
        <x:f>'План'!A12</x:f>
        <x:v>3.1.1</x:v>
      </x:c>
      <x:c r="B13" t="str">
        <x:f>'План'!B12</x:f>
        <x:v>Уточнение архитектуры модулей</x:v>
      </x:c>
      <x:c r="C13" t="str">
        <x:f>'План'!F12</x:f>
        <x:v>АР</x:v>
      </x:c>
      <x:c r="D13" s="2" t="n">
        <x:f>'План'!C12</x:f>
        <x:v>46412</x:v>
      </x:c>
      <x:c r="E13" s="2" t="n">
        <x:f>'План'!D12</x:f>
        <x:v>46430</x:v>
      </x:c>
      <x:c r="F13" s="42" t="str">
        <x:f>IF(AND('План'!$C12&lt;=F$2+6,'План'!$D12&gt;=F$2),"■","")</x:f>
      </x:c>
      <x:c r="G13" s="42" t="str">
        <x:f>IF(AND('План'!$C12&lt;=G$2+6,'План'!$D12&gt;=G$2),"■","")</x:f>
      </x:c>
      <x:c r="H13" s="42" t="str">
        <x:f>IF(AND('План'!$C12&lt;=H$2+6,'План'!$D12&gt;=H$2),"■","")</x:f>
      </x:c>
      <x:c r="I13" s="42" t="str">
        <x:f>IF(AND('План'!$C12&lt;=I$2+6,'План'!$D12&gt;=I$2),"■","")</x:f>
      </x:c>
      <x:c r="J13" s="42" t="str">
        <x:f>IF(AND('План'!$C12&lt;=J$2+6,'План'!$D12&gt;=J$2),"■","")</x:f>
      </x:c>
      <x:c r="K13" s="42" t="str">
        <x:f>IF(AND('План'!$C12&lt;=K$2+6,'План'!$D12&gt;=K$2),"■","")</x:f>
      </x:c>
      <x:c r="L13" s="42" t="str">
        <x:f>IF(AND('План'!$C12&lt;=L$2+6,'План'!$D12&gt;=L$2),"■","")</x:f>
      </x:c>
      <x:c r="M13" s="42" t="str">
        <x:f>IF(AND('План'!$C12&lt;=M$2+6,'План'!$D12&gt;=M$2),"■","")</x:f>
      </x:c>
      <x:c r="N13" s="42" t="str">
        <x:f>IF(AND('План'!$C12&lt;=N$2+6,'План'!$D12&gt;=N$2),"■","")</x:f>
      </x:c>
      <x:c r="O13" s="42" t="str">
        <x:f>IF(AND('План'!$C12&lt;=O$2+6,'План'!$D12&gt;=O$2),"■","")</x:f>
      </x:c>
      <x:c r="P13" s="42" t="str">
        <x:f>IF(AND('План'!$C12&lt;=P$2+6,'План'!$D12&gt;=P$2),"■","")</x:f>
      </x:c>
      <x:c r="Q13" s="42" t="str">
        <x:f>IF(AND('План'!$C12&lt;=Q$2+6,'План'!$D12&gt;=Q$2),"■","")</x:f>
      </x:c>
      <x:c r="R13" s="42" t="str">
        <x:f>IF(AND('План'!$C12&lt;=R$2+6,'План'!$D12&gt;=R$2),"■","")</x:f>
        <x:v>■</x:v>
      </x:c>
      <x:c r="S13" s="42" t="str">
        <x:f>IF(AND('План'!$C12&lt;=S$2+6,'План'!$D12&gt;=S$2),"■","")</x:f>
        <x:v>■</x:v>
      </x:c>
      <x:c r="T13" s="42" t="str">
        <x:f>IF(AND('План'!$C12&lt;=T$2+6,'План'!$D12&gt;=T$2),"■","")</x:f>
        <x:v>■</x:v>
      </x:c>
      <x:c r="U13" s="42" t="str">
        <x:f>IF(AND('План'!$C12&lt;=U$2+6,'План'!$D12&gt;=U$2),"■","")</x:f>
      </x:c>
      <x:c r="V13" s="42" t="str">
        <x:f>IF(AND('План'!$C12&lt;=V$2+6,'План'!$D12&gt;=V$2),"■","")</x:f>
      </x:c>
      <x:c r="W13" s="42" t="str">
        <x:f>IF(AND('План'!$C12&lt;=W$2+6,'План'!$D12&gt;=W$2),"■","")</x:f>
      </x:c>
      <x:c r="X13" s="42" t="str">
        <x:f>IF(AND('План'!$C12&lt;=X$2+6,'План'!$D12&gt;=X$2),"■","")</x:f>
      </x:c>
      <x:c r="Y13" s="42" t="str">
        <x:f>IF(AND('План'!$C12&lt;=Y$2+6,'План'!$D12&gt;=Y$2),"■","")</x:f>
      </x:c>
      <x:c r="Z13" s="42" t="str">
        <x:f>IF(AND('План'!$C12&lt;=Z$2+6,'План'!$D12&gt;=Z$2),"■","")</x:f>
      </x:c>
      <x:c r="AA13" s="42" t="str">
        <x:f>IF(AND('План'!$C12&lt;=AA$2+6,'План'!$D12&gt;=AA$2),"■","")</x:f>
      </x:c>
      <x:c r="AB13" s="42" t="str">
        <x:f>IF(AND('План'!$C12&lt;=AB$2+6,'План'!$D12&gt;=AB$2),"■","")</x:f>
      </x:c>
      <x:c r="AC13" s="42" t="str">
        <x:f>IF(AND('План'!$C12&lt;=AC$2+6,'План'!$D12&gt;=AC$2),"■","")</x:f>
      </x:c>
      <x:c r="AD13" s="42" t="str">
        <x:f>IF(AND('План'!$C12&lt;=AD$2+6,'План'!$D12&gt;=AD$2),"■","")</x:f>
      </x:c>
      <x:c r="AE13" s="42" t="str">
        <x:f>IF(AND('План'!$C12&lt;=AE$2+6,'План'!$D12&gt;=AE$2),"■","")</x:f>
      </x:c>
      <x:c r="AF13" s="42" t="str">
        <x:f>IF(AND('План'!$C12&lt;=AF$2+6,'План'!$D12&gt;=AF$2),"■","")</x:f>
      </x:c>
      <x:c r="AG13" s="42" t="str">
        <x:f>IF(AND('План'!$C12&lt;=AG$2+6,'План'!$D12&gt;=AG$2),"■","")</x:f>
      </x:c>
      <x:c r="AH13" s="42" t="str">
        <x:f>IF(AND('План'!$C12&lt;=AH$2+6,'План'!$D12&gt;=AH$2),"■","")</x:f>
      </x:c>
      <x:c r="AI13" s="42" t="str">
        <x:f>IF(AND('План'!$C12&lt;=AI$2+6,'План'!$D12&gt;=AI$2),"■","")</x:f>
      </x:c>
      <x:c r="AJ13" s="42" t="str">
        <x:f>IF(AND('План'!$C12&lt;=AJ$2+6,'План'!$D12&gt;=AJ$2),"■","")</x:f>
      </x:c>
      <x:c r="AK13" s="42" t="str">
        <x:f>IF(AND('План'!$C12&lt;=AK$2+6,'План'!$D12&gt;=AK$2),"■","")</x:f>
      </x:c>
      <x:c r="AL13" s="42" t="str">
        <x:f>IF(AND('План'!$C12&lt;=AL$2+6,'План'!$D12&gt;=AL$2),"■","")</x:f>
      </x:c>
      <x:c r="AM13" s="42" t="str">
        <x:f>IF(AND('План'!$C12&lt;=AM$2+6,'План'!$D12&gt;=AM$2),"■","")</x:f>
      </x:c>
      <x:c r="AN13" s="42" t="str">
        <x:f>IF(AND('План'!$C12&lt;=AN$2+6,'План'!$D12&gt;=AN$2),"■","")</x:f>
      </x:c>
    </x:row>
    <x:row r="14" ht="22" customHeight="1">
      <x:c r="A14" t="str">
        <x:f>'План'!A13</x:f>
        <x:v>3.1.2</x:v>
      </x:c>
      <x:c r="B14" t="str">
        <x:f>'План'!B13</x:f>
        <x:v>Общий хост и реестр адаптеров</x:v>
      </x:c>
      <x:c r="C14" t="str">
        <x:f>'План'!F13</x:f>
        <x:v>АР</x:v>
      </x:c>
      <x:c r="D14" s="2" t="n">
        <x:f>'План'!C13</x:f>
        <x:v>46419</x:v>
      </x:c>
      <x:c r="E14" s="2" t="n">
        <x:f>'План'!D13</x:f>
        <x:v>46437</x:v>
      </x:c>
      <x:c r="F14" s="42" t="str">
        <x:f>IF(AND('План'!$C13&lt;=F$2+6,'План'!$D13&gt;=F$2),"■","")</x:f>
      </x:c>
      <x:c r="G14" s="42" t="str">
        <x:f>IF(AND('План'!$C13&lt;=G$2+6,'План'!$D13&gt;=G$2),"■","")</x:f>
      </x:c>
      <x:c r="H14" s="42" t="str">
        <x:f>IF(AND('План'!$C13&lt;=H$2+6,'План'!$D13&gt;=H$2),"■","")</x:f>
      </x:c>
      <x:c r="I14" s="42" t="str">
        <x:f>IF(AND('План'!$C13&lt;=I$2+6,'План'!$D13&gt;=I$2),"■","")</x:f>
      </x:c>
      <x:c r="J14" s="42" t="str">
        <x:f>IF(AND('План'!$C13&lt;=J$2+6,'План'!$D13&gt;=J$2),"■","")</x:f>
      </x:c>
      <x:c r="K14" s="42" t="str">
        <x:f>IF(AND('План'!$C13&lt;=K$2+6,'План'!$D13&gt;=K$2),"■","")</x:f>
      </x:c>
      <x:c r="L14" s="42" t="str">
        <x:f>IF(AND('План'!$C13&lt;=L$2+6,'План'!$D13&gt;=L$2),"■","")</x:f>
      </x:c>
      <x:c r="M14" s="42" t="str">
        <x:f>IF(AND('План'!$C13&lt;=M$2+6,'План'!$D13&gt;=M$2),"■","")</x:f>
      </x:c>
      <x:c r="N14" s="42" t="str">
        <x:f>IF(AND('План'!$C13&lt;=N$2+6,'План'!$D13&gt;=N$2),"■","")</x:f>
      </x:c>
      <x:c r="O14" s="42" t="str">
        <x:f>IF(AND('План'!$C13&lt;=O$2+6,'План'!$D13&gt;=O$2),"■","")</x:f>
      </x:c>
      <x:c r="P14" s="42" t="str">
        <x:f>IF(AND('План'!$C13&lt;=P$2+6,'План'!$D13&gt;=P$2),"■","")</x:f>
      </x:c>
      <x:c r="Q14" s="42" t="str">
        <x:f>IF(AND('План'!$C13&lt;=Q$2+6,'План'!$D13&gt;=Q$2),"■","")</x:f>
      </x:c>
      <x:c r="R14" s="42" t="str">
        <x:f>IF(AND('План'!$C13&lt;=R$2+6,'План'!$D13&gt;=R$2),"■","")</x:f>
      </x:c>
      <x:c r="S14" s="42" t="str">
        <x:f>IF(AND('План'!$C13&lt;=S$2+6,'План'!$D13&gt;=S$2),"■","")</x:f>
        <x:v>■</x:v>
      </x:c>
      <x:c r="T14" s="42" t="str">
        <x:f>IF(AND('План'!$C13&lt;=T$2+6,'План'!$D13&gt;=T$2),"■","")</x:f>
        <x:v>■</x:v>
      </x:c>
      <x:c r="U14" s="42" t="str">
        <x:f>IF(AND('План'!$C13&lt;=U$2+6,'План'!$D13&gt;=U$2),"■","")</x:f>
        <x:v>■</x:v>
      </x:c>
      <x:c r="V14" s="42" t="str">
        <x:f>IF(AND('План'!$C13&lt;=V$2+6,'План'!$D13&gt;=V$2),"■","")</x:f>
      </x:c>
      <x:c r="W14" s="42" t="str">
        <x:f>IF(AND('План'!$C13&lt;=W$2+6,'План'!$D13&gt;=W$2),"■","")</x:f>
      </x:c>
      <x:c r="X14" s="42" t="str">
        <x:f>IF(AND('План'!$C13&lt;=X$2+6,'План'!$D13&gt;=X$2),"■","")</x:f>
      </x:c>
      <x:c r="Y14" s="42" t="str">
        <x:f>IF(AND('План'!$C13&lt;=Y$2+6,'План'!$D13&gt;=Y$2),"■","")</x:f>
      </x:c>
      <x:c r="Z14" s="42" t="str">
        <x:f>IF(AND('План'!$C13&lt;=Z$2+6,'План'!$D13&gt;=Z$2),"■","")</x:f>
      </x:c>
      <x:c r="AA14" s="42" t="str">
        <x:f>IF(AND('План'!$C13&lt;=AA$2+6,'План'!$D13&gt;=AA$2),"■","")</x:f>
      </x:c>
      <x:c r="AB14" s="42" t="str">
        <x:f>IF(AND('План'!$C13&lt;=AB$2+6,'План'!$D13&gt;=AB$2),"■","")</x:f>
      </x:c>
      <x:c r="AC14" s="42" t="str">
        <x:f>IF(AND('План'!$C13&lt;=AC$2+6,'План'!$D13&gt;=AC$2),"■","")</x:f>
      </x:c>
      <x:c r="AD14" s="42" t="str">
        <x:f>IF(AND('План'!$C13&lt;=AD$2+6,'План'!$D13&gt;=AD$2),"■","")</x:f>
      </x:c>
      <x:c r="AE14" s="42" t="str">
        <x:f>IF(AND('План'!$C13&lt;=AE$2+6,'План'!$D13&gt;=AE$2),"■","")</x:f>
      </x:c>
      <x:c r="AF14" s="42" t="str">
        <x:f>IF(AND('План'!$C13&lt;=AF$2+6,'План'!$D13&gt;=AF$2),"■","")</x:f>
      </x:c>
      <x:c r="AG14" s="42" t="str">
        <x:f>IF(AND('План'!$C13&lt;=AG$2+6,'План'!$D13&gt;=AG$2),"■","")</x:f>
      </x:c>
      <x:c r="AH14" s="42" t="str">
        <x:f>IF(AND('План'!$C13&lt;=AH$2+6,'План'!$D13&gt;=AH$2),"■","")</x:f>
      </x:c>
      <x:c r="AI14" s="42" t="str">
        <x:f>IF(AND('План'!$C13&lt;=AI$2+6,'План'!$D13&gt;=AI$2),"■","")</x:f>
      </x:c>
      <x:c r="AJ14" s="42" t="str">
        <x:f>IF(AND('План'!$C13&lt;=AJ$2+6,'План'!$D13&gt;=AJ$2),"■","")</x:f>
      </x:c>
      <x:c r="AK14" s="42" t="str">
        <x:f>IF(AND('План'!$C13&lt;=AK$2+6,'План'!$D13&gt;=AK$2),"■","")</x:f>
      </x:c>
      <x:c r="AL14" s="42" t="str">
        <x:f>IF(AND('План'!$C13&lt;=AL$2+6,'План'!$D13&gt;=AL$2),"■","")</x:f>
      </x:c>
      <x:c r="AM14" s="42" t="str">
        <x:f>IF(AND('План'!$C13&lt;=AM$2+6,'План'!$D13&gt;=AM$2),"■","")</x:f>
      </x:c>
      <x:c r="AN14" s="42" t="str">
        <x:f>IF(AND('План'!$C13&lt;=AN$2+6,'План'!$D13&gt;=AN$2),"■","")</x:f>
      </x:c>
    </x:row>
    <x:row r="15" ht="22" customHeight="1">
      <x:c r="A15" t="str">
        <x:f>'План'!A14</x:f>
        <x:v>3.1.3</x:v>
      </x:c>
      <x:c r="B15" t="str">
        <x:f>'План'!B14</x:f>
        <x:v>Общий язык и синхронизация модели</x:v>
      </x:c>
      <x:c r="C15" t="str">
        <x:f>'План'!F14</x:f>
        <x:v>ИН</x:v>
      </x:c>
      <x:c r="D15" s="2" t="n">
        <x:f>'План'!C14</x:f>
        <x:v>46433</x:v>
      </x:c>
      <x:c r="E15" s="2" t="n">
        <x:f>'План'!D14</x:f>
        <x:v>46444</x:v>
      </x:c>
      <x:c r="F15" s="42" t="str">
        <x:f>IF(AND('План'!$C14&lt;=F$2+6,'План'!$D14&gt;=F$2),"■","")</x:f>
      </x:c>
      <x:c r="G15" s="42" t="str">
        <x:f>IF(AND('План'!$C14&lt;=G$2+6,'План'!$D14&gt;=G$2),"■","")</x:f>
      </x:c>
      <x:c r="H15" s="42" t="str">
        <x:f>IF(AND('План'!$C14&lt;=H$2+6,'План'!$D14&gt;=H$2),"■","")</x:f>
      </x:c>
      <x:c r="I15" s="42" t="str">
        <x:f>IF(AND('План'!$C14&lt;=I$2+6,'План'!$D14&gt;=I$2),"■","")</x:f>
      </x:c>
      <x:c r="J15" s="42" t="str">
        <x:f>IF(AND('План'!$C14&lt;=J$2+6,'План'!$D14&gt;=J$2),"■","")</x:f>
      </x:c>
      <x:c r="K15" s="42" t="str">
        <x:f>IF(AND('План'!$C14&lt;=K$2+6,'План'!$D14&gt;=K$2),"■","")</x:f>
      </x:c>
      <x:c r="L15" s="42" t="str">
        <x:f>IF(AND('План'!$C14&lt;=L$2+6,'План'!$D14&gt;=L$2),"■","")</x:f>
      </x:c>
      <x:c r="M15" s="42" t="str">
        <x:f>IF(AND('План'!$C14&lt;=M$2+6,'План'!$D14&gt;=M$2),"■","")</x:f>
      </x:c>
      <x:c r="N15" s="42" t="str">
        <x:f>IF(AND('План'!$C14&lt;=N$2+6,'План'!$D14&gt;=N$2),"■","")</x:f>
      </x:c>
      <x:c r="O15" s="42" t="str">
        <x:f>IF(AND('План'!$C14&lt;=O$2+6,'План'!$D14&gt;=O$2),"■","")</x:f>
      </x:c>
      <x:c r="P15" s="42" t="str">
        <x:f>IF(AND('План'!$C14&lt;=P$2+6,'План'!$D14&gt;=P$2),"■","")</x:f>
      </x:c>
      <x:c r="Q15" s="42" t="str">
        <x:f>IF(AND('План'!$C14&lt;=Q$2+6,'План'!$D14&gt;=Q$2),"■","")</x:f>
      </x:c>
      <x:c r="R15" s="42" t="str">
        <x:f>IF(AND('План'!$C14&lt;=R$2+6,'План'!$D14&gt;=R$2),"■","")</x:f>
      </x:c>
      <x:c r="S15" s="42" t="str">
        <x:f>IF(AND('План'!$C14&lt;=S$2+6,'План'!$D14&gt;=S$2),"■","")</x:f>
      </x:c>
      <x:c r="T15" s="42" t="str">
        <x:f>IF(AND('План'!$C14&lt;=T$2+6,'План'!$D14&gt;=T$2),"■","")</x:f>
      </x:c>
      <x:c r="U15" s="42" t="str">
        <x:f>IF(AND('План'!$C14&lt;=U$2+6,'План'!$D14&gt;=U$2),"■","")</x:f>
        <x:v>■</x:v>
      </x:c>
      <x:c r="V15" s="42" t="str">
        <x:f>IF(AND('План'!$C14&lt;=V$2+6,'План'!$D14&gt;=V$2),"■","")</x:f>
        <x:v>■</x:v>
      </x:c>
      <x:c r="W15" s="42" t="str">
        <x:f>IF(AND('План'!$C14&lt;=W$2+6,'План'!$D14&gt;=W$2),"■","")</x:f>
      </x:c>
      <x:c r="X15" s="42" t="str">
        <x:f>IF(AND('План'!$C14&lt;=X$2+6,'План'!$D14&gt;=X$2),"■","")</x:f>
      </x:c>
      <x:c r="Y15" s="42" t="str">
        <x:f>IF(AND('План'!$C14&lt;=Y$2+6,'План'!$D14&gt;=Y$2),"■","")</x:f>
      </x:c>
      <x:c r="Z15" s="42" t="str">
        <x:f>IF(AND('План'!$C14&lt;=Z$2+6,'План'!$D14&gt;=Z$2),"■","")</x:f>
      </x:c>
      <x:c r="AA15" s="42" t="str">
        <x:f>IF(AND('План'!$C14&lt;=AA$2+6,'План'!$D14&gt;=AA$2),"■","")</x:f>
      </x:c>
      <x:c r="AB15" s="42" t="str">
        <x:f>IF(AND('План'!$C14&lt;=AB$2+6,'План'!$D14&gt;=AB$2),"■","")</x:f>
      </x:c>
      <x:c r="AC15" s="42" t="str">
        <x:f>IF(AND('План'!$C14&lt;=AC$2+6,'План'!$D14&gt;=AC$2),"■","")</x:f>
      </x:c>
      <x:c r="AD15" s="42" t="str">
        <x:f>IF(AND('План'!$C14&lt;=AD$2+6,'План'!$D14&gt;=AD$2),"■","")</x:f>
      </x:c>
      <x:c r="AE15" s="42" t="str">
        <x:f>IF(AND('План'!$C14&lt;=AE$2+6,'План'!$D14&gt;=AE$2),"■","")</x:f>
      </x:c>
      <x:c r="AF15" s="42" t="str">
        <x:f>IF(AND('План'!$C14&lt;=AF$2+6,'План'!$D14&gt;=AF$2),"■","")</x:f>
      </x:c>
      <x:c r="AG15" s="42" t="str">
        <x:f>IF(AND('План'!$C14&lt;=AG$2+6,'План'!$D14&gt;=AG$2),"■","")</x:f>
      </x:c>
      <x:c r="AH15" s="42" t="str">
        <x:f>IF(AND('План'!$C14&lt;=AH$2+6,'План'!$D14&gt;=AH$2),"■","")</x:f>
      </x:c>
      <x:c r="AI15" s="42" t="str">
        <x:f>IF(AND('План'!$C14&lt;=AI$2+6,'План'!$D14&gt;=AI$2),"■","")</x:f>
      </x:c>
      <x:c r="AJ15" s="42" t="str">
        <x:f>IF(AND('План'!$C14&lt;=AJ$2+6,'План'!$D14&gt;=AJ$2),"■","")</x:f>
      </x:c>
      <x:c r="AK15" s="42" t="str">
        <x:f>IF(AND('План'!$C14&lt;=AK$2+6,'План'!$D14&gt;=AK$2),"■","")</x:f>
      </x:c>
      <x:c r="AL15" s="42" t="str">
        <x:f>IF(AND('План'!$C14&lt;=AL$2+6,'План'!$D14&gt;=AL$2),"■","")</x:f>
      </x:c>
      <x:c r="AM15" s="42" t="str">
        <x:f>IF(AND('План'!$C14&lt;=AM$2+6,'План'!$D14&gt;=AM$2),"■","")</x:f>
      </x:c>
      <x:c r="AN15" s="42" t="str">
        <x:f>IF(AND('План'!$C14&lt;=AN$2+6,'План'!$D14&gt;=AN$2),"■","")</x:f>
      </x:c>
    </x:row>
    <x:row r="16" ht="22" customHeight="1">
      <x:c r="A16" t="str">
        <x:f>'План'!A15</x:f>
        <x:v>3.2.1</x:v>
      </x:c>
      <x:c r="B16" t="str">
        <x:f>'План'!B15</x:f>
        <x:v>Сохранение, черновики и восстановление</x:v>
      </x:c>
      <x:c r="C16" t="str">
        <x:f>'План'!F15</x:f>
        <x:v>АР</x:v>
      </x:c>
      <x:c r="D16" s="2" t="n">
        <x:f>'План'!C15</x:f>
        <x:v>46440</x:v>
      </x:c>
      <x:c r="E16" s="2" t="n">
        <x:f>'План'!D15</x:f>
        <x:v>46465</x:v>
      </x:c>
      <x:c r="F16" s="42" t="str">
        <x:f>IF(AND('План'!$C15&lt;=F$2+6,'План'!$D15&gt;=F$2),"■","")</x:f>
      </x:c>
      <x:c r="G16" s="42" t="str">
        <x:f>IF(AND('План'!$C15&lt;=G$2+6,'План'!$D15&gt;=G$2),"■","")</x:f>
      </x:c>
      <x:c r="H16" s="42" t="str">
        <x:f>IF(AND('План'!$C15&lt;=H$2+6,'План'!$D15&gt;=H$2),"■","")</x:f>
      </x:c>
      <x:c r="I16" s="42" t="str">
        <x:f>IF(AND('План'!$C15&lt;=I$2+6,'План'!$D15&gt;=I$2),"■","")</x:f>
      </x:c>
      <x:c r="J16" s="42" t="str">
        <x:f>IF(AND('План'!$C15&lt;=J$2+6,'План'!$D15&gt;=J$2),"■","")</x:f>
      </x:c>
      <x:c r="K16" s="42" t="str">
        <x:f>IF(AND('План'!$C15&lt;=K$2+6,'План'!$D15&gt;=K$2),"■","")</x:f>
      </x:c>
      <x:c r="L16" s="42" t="str">
        <x:f>IF(AND('План'!$C15&lt;=L$2+6,'План'!$D15&gt;=L$2),"■","")</x:f>
      </x:c>
      <x:c r="M16" s="42" t="str">
        <x:f>IF(AND('План'!$C15&lt;=M$2+6,'План'!$D15&gt;=M$2),"■","")</x:f>
      </x:c>
      <x:c r="N16" s="42" t="str">
        <x:f>IF(AND('План'!$C15&lt;=N$2+6,'План'!$D15&gt;=N$2),"■","")</x:f>
      </x:c>
      <x:c r="O16" s="42" t="str">
        <x:f>IF(AND('План'!$C15&lt;=O$2+6,'План'!$D15&gt;=O$2),"■","")</x:f>
      </x:c>
      <x:c r="P16" s="42" t="str">
        <x:f>IF(AND('План'!$C15&lt;=P$2+6,'План'!$D15&gt;=P$2),"■","")</x:f>
      </x:c>
      <x:c r="Q16" s="42" t="str">
        <x:f>IF(AND('План'!$C15&lt;=Q$2+6,'План'!$D15&gt;=Q$2),"■","")</x:f>
      </x:c>
      <x:c r="R16" s="42" t="str">
        <x:f>IF(AND('План'!$C15&lt;=R$2+6,'План'!$D15&gt;=R$2),"■","")</x:f>
      </x:c>
      <x:c r="S16" s="42" t="str">
        <x:f>IF(AND('План'!$C15&lt;=S$2+6,'План'!$D15&gt;=S$2),"■","")</x:f>
      </x:c>
      <x:c r="T16" s="42" t="str">
        <x:f>IF(AND('План'!$C15&lt;=T$2+6,'План'!$D15&gt;=T$2),"■","")</x:f>
      </x:c>
      <x:c r="U16" s="42" t="str">
        <x:f>IF(AND('План'!$C15&lt;=U$2+6,'План'!$D15&gt;=U$2),"■","")</x:f>
      </x:c>
      <x:c r="V16" s="42" t="str">
        <x:f>IF(AND('План'!$C15&lt;=V$2+6,'План'!$D15&gt;=V$2),"■","")</x:f>
        <x:v>■</x:v>
      </x:c>
      <x:c r="W16" s="42" t="str">
        <x:f>IF(AND('План'!$C15&lt;=W$2+6,'План'!$D15&gt;=W$2),"■","")</x:f>
        <x:v>■</x:v>
      </x:c>
      <x:c r="X16" s="42" t="str">
        <x:f>IF(AND('План'!$C15&lt;=X$2+6,'План'!$D15&gt;=X$2),"■","")</x:f>
        <x:v>■</x:v>
      </x:c>
      <x:c r="Y16" s="42" t="str">
        <x:f>IF(AND('План'!$C15&lt;=Y$2+6,'План'!$D15&gt;=Y$2),"■","")</x:f>
        <x:v>■</x:v>
      </x:c>
      <x:c r="Z16" s="42" t="str">
        <x:f>IF(AND('План'!$C15&lt;=Z$2+6,'План'!$D15&gt;=Z$2),"■","")</x:f>
      </x:c>
      <x:c r="AA16" s="42" t="str">
        <x:f>IF(AND('План'!$C15&lt;=AA$2+6,'План'!$D15&gt;=AA$2),"■","")</x:f>
      </x:c>
      <x:c r="AB16" s="42" t="str">
        <x:f>IF(AND('План'!$C15&lt;=AB$2+6,'План'!$D15&gt;=AB$2),"■","")</x:f>
      </x:c>
      <x:c r="AC16" s="42" t="str">
        <x:f>IF(AND('План'!$C15&lt;=AC$2+6,'План'!$D15&gt;=AC$2),"■","")</x:f>
      </x:c>
      <x:c r="AD16" s="42" t="str">
        <x:f>IF(AND('План'!$C15&lt;=AD$2+6,'План'!$D15&gt;=AD$2),"■","")</x:f>
      </x:c>
      <x:c r="AE16" s="42" t="str">
        <x:f>IF(AND('План'!$C15&lt;=AE$2+6,'План'!$D15&gt;=AE$2),"■","")</x:f>
      </x:c>
      <x:c r="AF16" s="42" t="str">
        <x:f>IF(AND('План'!$C15&lt;=AF$2+6,'План'!$D15&gt;=AF$2),"■","")</x:f>
      </x:c>
      <x:c r="AG16" s="42" t="str">
        <x:f>IF(AND('План'!$C15&lt;=AG$2+6,'План'!$D15&gt;=AG$2),"■","")</x:f>
      </x:c>
      <x:c r="AH16" s="42" t="str">
        <x:f>IF(AND('План'!$C15&lt;=AH$2+6,'План'!$D15&gt;=AH$2),"■","")</x:f>
      </x:c>
      <x:c r="AI16" s="42" t="str">
        <x:f>IF(AND('План'!$C15&lt;=AI$2+6,'План'!$D15&gt;=AI$2),"■","")</x:f>
      </x:c>
      <x:c r="AJ16" s="42" t="str">
        <x:f>IF(AND('План'!$C15&lt;=AJ$2+6,'План'!$D15&gt;=AJ$2),"■","")</x:f>
      </x:c>
      <x:c r="AK16" s="42" t="str">
        <x:f>IF(AND('План'!$C15&lt;=AK$2+6,'План'!$D15&gt;=AK$2),"■","")</x:f>
      </x:c>
      <x:c r="AL16" s="42" t="str">
        <x:f>IF(AND('План'!$C15&lt;=AL$2+6,'План'!$D15&gt;=AL$2),"■","")</x:f>
      </x:c>
      <x:c r="AM16" s="42" t="str">
        <x:f>IF(AND('План'!$C15&lt;=AM$2+6,'План'!$D15&gt;=AM$2),"■","")</x:f>
      </x:c>
      <x:c r="AN16" s="42" t="str">
        <x:f>IF(AND('План'!$C15&lt;=AN$2+6,'План'!$D15&gt;=AN$2),"■","")</x:f>
      </x:c>
    </x:row>
    <x:row r="17" ht="22" customHeight="1">
      <x:c r="A17" t="str">
        <x:f>'План'!A16</x:f>
        <x:v>3.2.2</x:v>
      </x:c>
      <x:c r="B17" t="str">
        <x:f>'План'!B16</x:f>
        <x:v>Единый интерфейс редактора</x:v>
      </x:c>
      <x:c r="C17" t="str">
        <x:f>'План'!F16</x:f>
        <x:v>UX</x:v>
      </x:c>
      <x:c r="D17" s="2" t="n">
        <x:f>'План'!C16</x:f>
        <x:v>46440</x:v>
      </x:c>
      <x:c r="E17" s="2" t="n">
        <x:f>'План'!D16</x:f>
        <x:v>46465</x:v>
      </x:c>
      <x:c r="F17" s="42" t="str">
        <x:f>IF(AND('План'!$C16&lt;=F$2+6,'План'!$D16&gt;=F$2),"■","")</x:f>
      </x:c>
      <x:c r="G17" s="42" t="str">
        <x:f>IF(AND('План'!$C16&lt;=G$2+6,'План'!$D16&gt;=G$2),"■","")</x:f>
      </x:c>
      <x:c r="H17" s="42" t="str">
        <x:f>IF(AND('План'!$C16&lt;=H$2+6,'План'!$D16&gt;=H$2),"■","")</x:f>
      </x:c>
      <x:c r="I17" s="42" t="str">
        <x:f>IF(AND('План'!$C16&lt;=I$2+6,'План'!$D16&gt;=I$2),"■","")</x:f>
      </x:c>
      <x:c r="J17" s="42" t="str">
        <x:f>IF(AND('План'!$C16&lt;=J$2+6,'План'!$D16&gt;=J$2),"■","")</x:f>
      </x:c>
      <x:c r="K17" s="42" t="str">
        <x:f>IF(AND('План'!$C16&lt;=K$2+6,'План'!$D16&gt;=K$2),"■","")</x:f>
      </x:c>
      <x:c r="L17" s="42" t="str">
        <x:f>IF(AND('План'!$C16&lt;=L$2+6,'План'!$D16&gt;=L$2),"■","")</x:f>
      </x:c>
      <x:c r="M17" s="42" t="str">
        <x:f>IF(AND('План'!$C16&lt;=M$2+6,'План'!$D16&gt;=M$2),"■","")</x:f>
      </x:c>
      <x:c r="N17" s="42" t="str">
        <x:f>IF(AND('План'!$C16&lt;=N$2+6,'План'!$D16&gt;=N$2),"■","")</x:f>
      </x:c>
      <x:c r="O17" s="42" t="str">
        <x:f>IF(AND('План'!$C16&lt;=O$2+6,'План'!$D16&gt;=O$2),"■","")</x:f>
      </x:c>
      <x:c r="P17" s="42" t="str">
        <x:f>IF(AND('План'!$C16&lt;=P$2+6,'План'!$D16&gt;=P$2),"■","")</x:f>
      </x:c>
      <x:c r="Q17" s="42" t="str">
        <x:f>IF(AND('План'!$C16&lt;=Q$2+6,'План'!$D16&gt;=Q$2),"■","")</x:f>
      </x:c>
      <x:c r="R17" s="42" t="str">
        <x:f>IF(AND('План'!$C16&lt;=R$2+6,'План'!$D16&gt;=R$2),"■","")</x:f>
      </x:c>
      <x:c r="S17" s="42" t="str">
        <x:f>IF(AND('План'!$C16&lt;=S$2+6,'План'!$D16&gt;=S$2),"■","")</x:f>
      </x:c>
      <x:c r="T17" s="42" t="str">
        <x:f>IF(AND('План'!$C16&lt;=T$2+6,'План'!$D16&gt;=T$2),"■","")</x:f>
      </x:c>
      <x:c r="U17" s="42" t="str">
        <x:f>IF(AND('План'!$C16&lt;=U$2+6,'План'!$D16&gt;=U$2),"■","")</x:f>
      </x:c>
      <x:c r="V17" s="42" t="str">
        <x:f>IF(AND('План'!$C16&lt;=V$2+6,'План'!$D16&gt;=V$2),"■","")</x:f>
        <x:v>■</x:v>
      </x:c>
      <x:c r="W17" s="42" t="str">
        <x:f>IF(AND('План'!$C16&lt;=W$2+6,'План'!$D16&gt;=W$2),"■","")</x:f>
        <x:v>■</x:v>
      </x:c>
      <x:c r="X17" s="42" t="str">
        <x:f>IF(AND('План'!$C16&lt;=X$2+6,'План'!$D16&gt;=X$2),"■","")</x:f>
        <x:v>■</x:v>
      </x:c>
      <x:c r="Y17" s="42" t="str">
        <x:f>IF(AND('План'!$C16&lt;=Y$2+6,'План'!$D16&gt;=Y$2),"■","")</x:f>
        <x:v>■</x:v>
      </x:c>
      <x:c r="Z17" s="42" t="str">
        <x:f>IF(AND('План'!$C16&lt;=Z$2+6,'План'!$D16&gt;=Z$2),"■","")</x:f>
      </x:c>
      <x:c r="AA17" s="42" t="str">
        <x:f>IF(AND('План'!$C16&lt;=AA$2+6,'План'!$D16&gt;=AA$2),"■","")</x:f>
      </x:c>
      <x:c r="AB17" s="42" t="str">
        <x:f>IF(AND('План'!$C16&lt;=AB$2+6,'План'!$D16&gt;=AB$2),"■","")</x:f>
      </x:c>
      <x:c r="AC17" s="42" t="str">
        <x:f>IF(AND('План'!$C16&lt;=AC$2+6,'План'!$D16&gt;=AC$2),"■","")</x:f>
      </x:c>
      <x:c r="AD17" s="42" t="str">
        <x:f>IF(AND('План'!$C16&lt;=AD$2+6,'План'!$D16&gt;=AD$2),"■","")</x:f>
      </x:c>
      <x:c r="AE17" s="42" t="str">
        <x:f>IF(AND('План'!$C16&lt;=AE$2+6,'План'!$D16&gt;=AE$2),"■","")</x:f>
      </x:c>
      <x:c r="AF17" s="42" t="str">
        <x:f>IF(AND('План'!$C16&lt;=AF$2+6,'План'!$D16&gt;=AF$2),"■","")</x:f>
      </x:c>
      <x:c r="AG17" s="42" t="str">
        <x:f>IF(AND('План'!$C16&lt;=AG$2+6,'План'!$D16&gt;=AG$2),"■","")</x:f>
      </x:c>
      <x:c r="AH17" s="42" t="str">
        <x:f>IF(AND('План'!$C16&lt;=AH$2+6,'План'!$D16&gt;=AH$2),"■","")</x:f>
      </x:c>
      <x:c r="AI17" s="42" t="str">
        <x:f>IF(AND('План'!$C16&lt;=AI$2+6,'План'!$D16&gt;=AI$2),"■","")</x:f>
      </x:c>
      <x:c r="AJ17" s="42" t="str">
        <x:f>IF(AND('План'!$C16&lt;=AJ$2+6,'План'!$D16&gt;=AJ$2),"■","")</x:f>
      </x:c>
      <x:c r="AK17" s="42" t="str">
        <x:f>IF(AND('План'!$C16&lt;=AK$2+6,'План'!$D16&gt;=AK$2),"■","")</x:f>
      </x:c>
      <x:c r="AL17" s="42" t="str">
        <x:f>IF(AND('План'!$C16&lt;=AL$2+6,'План'!$D16&gt;=AL$2),"■","")</x:f>
      </x:c>
      <x:c r="AM17" s="42" t="str">
        <x:f>IF(AND('План'!$C16&lt;=AM$2+6,'План'!$D16&gt;=AM$2),"■","")</x:f>
      </x:c>
      <x:c r="AN17" s="42" t="str">
        <x:f>IF(AND('План'!$C16&lt;=AN$2+6,'План'!$D16&gt;=AN$2),"■","")</x:f>
      </x:c>
    </x:row>
    <x:row r="18" ht="22" customHeight="1">
      <x:c r="A18" t="str">
        <x:f>'План'!A17</x:f>
        <x:v>3.2.3</x:v>
      </x:c>
      <x:c r="B18" t="str">
        <x:f>'План'!B17</x:f>
        <x:v>Экспорт и выпускные сборки</x:v>
      </x:c>
      <x:c r="C18" t="str">
        <x:f>'План'!F17</x:f>
        <x:v>АР</x:v>
      </x:c>
      <x:c r="D18" s="2" t="n">
        <x:f>'План'!C17</x:f>
        <x:v>46468</x:v>
      </x:c>
      <x:c r="E18" s="2" t="n">
        <x:f>'План'!D17</x:f>
        <x:v>46486</x:v>
      </x:c>
      <x:c r="F18" s="42" t="str">
        <x:f>IF(AND('План'!$C17&lt;=F$2+6,'План'!$D17&gt;=F$2),"■","")</x:f>
      </x:c>
      <x:c r="G18" s="42" t="str">
        <x:f>IF(AND('План'!$C17&lt;=G$2+6,'План'!$D17&gt;=G$2),"■","")</x:f>
      </x:c>
      <x:c r="H18" s="42" t="str">
        <x:f>IF(AND('План'!$C17&lt;=H$2+6,'План'!$D17&gt;=H$2),"■","")</x:f>
      </x:c>
      <x:c r="I18" s="42" t="str">
        <x:f>IF(AND('План'!$C17&lt;=I$2+6,'План'!$D17&gt;=I$2),"■","")</x:f>
      </x:c>
      <x:c r="J18" s="42" t="str">
        <x:f>IF(AND('План'!$C17&lt;=J$2+6,'План'!$D17&gt;=J$2),"■","")</x:f>
      </x:c>
      <x:c r="K18" s="42" t="str">
        <x:f>IF(AND('План'!$C17&lt;=K$2+6,'План'!$D17&gt;=K$2),"■","")</x:f>
      </x:c>
      <x:c r="L18" s="42" t="str">
        <x:f>IF(AND('План'!$C17&lt;=L$2+6,'План'!$D17&gt;=L$2),"■","")</x:f>
      </x:c>
      <x:c r="M18" s="42" t="str">
        <x:f>IF(AND('План'!$C17&lt;=M$2+6,'План'!$D17&gt;=M$2),"■","")</x:f>
      </x:c>
      <x:c r="N18" s="42" t="str">
        <x:f>IF(AND('План'!$C17&lt;=N$2+6,'План'!$D17&gt;=N$2),"■","")</x:f>
      </x:c>
      <x:c r="O18" s="42" t="str">
        <x:f>IF(AND('План'!$C17&lt;=O$2+6,'План'!$D17&gt;=O$2),"■","")</x:f>
      </x:c>
      <x:c r="P18" s="42" t="str">
        <x:f>IF(AND('План'!$C17&lt;=P$2+6,'План'!$D17&gt;=P$2),"■","")</x:f>
      </x:c>
      <x:c r="Q18" s="42" t="str">
        <x:f>IF(AND('План'!$C17&lt;=Q$2+6,'План'!$D17&gt;=Q$2),"■","")</x:f>
      </x:c>
      <x:c r="R18" s="42" t="str">
        <x:f>IF(AND('План'!$C17&lt;=R$2+6,'План'!$D17&gt;=R$2),"■","")</x:f>
      </x:c>
      <x:c r="S18" s="42" t="str">
        <x:f>IF(AND('План'!$C17&lt;=S$2+6,'План'!$D17&gt;=S$2),"■","")</x:f>
      </x:c>
      <x:c r="T18" s="42" t="str">
        <x:f>IF(AND('План'!$C17&lt;=T$2+6,'План'!$D17&gt;=T$2),"■","")</x:f>
      </x:c>
      <x:c r="U18" s="42" t="str">
        <x:f>IF(AND('План'!$C17&lt;=U$2+6,'План'!$D17&gt;=U$2),"■","")</x:f>
      </x:c>
      <x:c r="V18" s="42" t="str">
        <x:f>IF(AND('План'!$C17&lt;=V$2+6,'План'!$D17&gt;=V$2),"■","")</x:f>
      </x:c>
      <x:c r="W18" s="42" t="str">
        <x:f>IF(AND('План'!$C17&lt;=W$2+6,'План'!$D17&gt;=W$2),"■","")</x:f>
      </x:c>
      <x:c r="X18" s="42" t="str">
        <x:f>IF(AND('План'!$C17&lt;=X$2+6,'План'!$D17&gt;=X$2),"■","")</x:f>
      </x:c>
      <x:c r="Y18" s="42" t="str">
        <x:f>IF(AND('План'!$C17&lt;=Y$2+6,'План'!$D17&gt;=Y$2),"■","")</x:f>
      </x:c>
      <x:c r="Z18" s="42" t="str">
        <x:f>IF(AND('План'!$C17&lt;=Z$2+6,'План'!$D17&gt;=Z$2),"■","")</x:f>
        <x:v>■</x:v>
      </x:c>
      <x:c r="AA18" s="42" t="str">
        <x:f>IF(AND('План'!$C17&lt;=AA$2+6,'План'!$D17&gt;=AA$2),"■","")</x:f>
        <x:v>■</x:v>
      </x:c>
      <x:c r="AB18" s="42" t="str">
        <x:f>IF(AND('План'!$C17&lt;=AB$2+6,'План'!$D17&gt;=AB$2),"■","")</x:f>
        <x:v>■</x:v>
      </x:c>
      <x:c r="AC18" s="42" t="str">
        <x:f>IF(AND('План'!$C17&lt;=AC$2+6,'План'!$D17&gt;=AC$2),"■","")</x:f>
      </x:c>
      <x:c r="AD18" s="42" t="str">
        <x:f>IF(AND('План'!$C17&lt;=AD$2+6,'План'!$D17&gt;=AD$2),"■","")</x:f>
      </x:c>
      <x:c r="AE18" s="42" t="str">
        <x:f>IF(AND('План'!$C17&lt;=AE$2+6,'План'!$D17&gt;=AE$2),"■","")</x:f>
      </x:c>
      <x:c r="AF18" s="42" t="str">
        <x:f>IF(AND('План'!$C17&lt;=AF$2+6,'План'!$D17&gt;=AF$2),"■","")</x:f>
      </x:c>
      <x:c r="AG18" s="42" t="str">
        <x:f>IF(AND('План'!$C17&lt;=AG$2+6,'План'!$D17&gt;=AG$2),"■","")</x:f>
      </x:c>
      <x:c r="AH18" s="42" t="str">
        <x:f>IF(AND('План'!$C17&lt;=AH$2+6,'План'!$D17&gt;=AH$2),"■","")</x:f>
      </x:c>
      <x:c r="AI18" s="42" t="str">
        <x:f>IF(AND('План'!$C17&lt;=AI$2+6,'План'!$D17&gt;=AI$2),"■","")</x:f>
      </x:c>
      <x:c r="AJ18" s="42" t="str">
        <x:f>IF(AND('План'!$C17&lt;=AJ$2+6,'План'!$D17&gt;=AJ$2),"■","")</x:f>
      </x:c>
      <x:c r="AK18" s="42" t="str">
        <x:f>IF(AND('План'!$C17&lt;=AK$2+6,'План'!$D17&gt;=AK$2),"■","")</x:f>
      </x:c>
      <x:c r="AL18" s="42" t="str">
        <x:f>IF(AND('План'!$C17&lt;=AL$2+6,'План'!$D17&gt;=AL$2),"■","")</x:f>
      </x:c>
      <x:c r="AM18" s="42" t="str">
        <x:f>IF(AND('План'!$C17&lt;=AM$2+6,'План'!$D17&gt;=AM$2),"■","")</x:f>
      </x:c>
      <x:c r="AN18" s="42" t="str">
        <x:f>IF(AND('План'!$C17&lt;=AN$2+6,'План'!$D17&gt;=AN$2),"■","")</x:f>
      </x:c>
    </x:row>
    <x:row r="19" ht="22" customHeight="1">
      <x:c r="A19" t="str">
        <x:f>'План'!A18</x:f>
        <x:v>4.1.1</x:v>
      </x:c>
      <x:c r="B19" t="str">
        <x:f>'План'!B18</x:f>
        <x:v>Доработка DFD</x:v>
      </x:c>
      <x:c r="C19" t="str">
        <x:f>'План'!F18</x:f>
        <x:v>ИН</x:v>
      </x:c>
      <x:c r="D19" s="2" t="n">
        <x:f>'План'!C18</x:f>
        <x:v>46447</x:v>
      </x:c>
      <x:c r="E19" s="2" t="n">
        <x:f>'План'!D18</x:f>
        <x:v>46465</x:v>
      </x:c>
      <x:c r="F19" s="42" t="str">
        <x:f>IF(AND('План'!$C18&lt;=F$2+6,'План'!$D18&gt;=F$2),"■","")</x:f>
      </x:c>
      <x:c r="G19" s="42" t="str">
        <x:f>IF(AND('План'!$C18&lt;=G$2+6,'План'!$D18&gt;=G$2),"■","")</x:f>
      </x:c>
      <x:c r="H19" s="42" t="str">
        <x:f>IF(AND('План'!$C18&lt;=H$2+6,'План'!$D18&gt;=H$2),"■","")</x:f>
      </x:c>
      <x:c r="I19" s="42" t="str">
        <x:f>IF(AND('План'!$C18&lt;=I$2+6,'План'!$D18&gt;=I$2),"■","")</x:f>
      </x:c>
      <x:c r="J19" s="42" t="str">
        <x:f>IF(AND('План'!$C18&lt;=J$2+6,'План'!$D18&gt;=J$2),"■","")</x:f>
      </x:c>
      <x:c r="K19" s="42" t="str">
        <x:f>IF(AND('План'!$C18&lt;=K$2+6,'План'!$D18&gt;=K$2),"■","")</x:f>
      </x:c>
      <x:c r="L19" s="42" t="str">
        <x:f>IF(AND('План'!$C18&lt;=L$2+6,'План'!$D18&gt;=L$2),"■","")</x:f>
      </x:c>
      <x:c r="M19" s="42" t="str">
        <x:f>IF(AND('План'!$C18&lt;=M$2+6,'План'!$D18&gt;=M$2),"■","")</x:f>
      </x:c>
      <x:c r="N19" s="42" t="str">
        <x:f>IF(AND('План'!$C18&lt;=N$2+6,'План'!$D18&gt;=N$2),"■","")</x:f>
      </x:c>
      <x:c r="O19" s="42" t="str">
        <x:f>IF(AND('План'!$C18&lt;=O$2+6,'План'!$D18&gt;=O$2),"■","")</x:f>
      </x:c>
      <x:c r="P19" s="42" t="str">
        <x:f>IF(AND('План'!$C18&lt;=P$2+6,'План'!$D18&gt;=P$2),"■","")</x:f>
      </x:c>
      <x:c r="Q19" s="42" t="str">
        <x:f>IF(AND('План'!$C18&lt;=Q$2+6,'План'!$D18&gt;=Q$2),"■","")</x:f>
      </x:c>
      <x:c r="R19" s="42" t="str">
        <x:f>IF(AND('План'!$C18&lt;=R$2+6,'План'!$D18&gt;=R$2),"■","")</x:f>
      </x:c>
      <x:c r="S19" s="42" t="str">
        <x:f>IF(AND('План'!$C18&lt;=S$2+6,'План'!$D18&gt;=S$2),"■","")</x:f>
      </x:c>
      <x:c r="T19" s="42" t="str">
        <x:f>IF(AND('План'!$C18&lt;=T$2+6,'План'!$D18&gt;=T$2),"■","")</x:f>
      </x:c>
      <x:c r="U19" s="42" t="str">
        <x:f>IF(AND('План'!$C18&lt;=U$2+6,'План'!$D18&gt;=U$2),"■","")</x:f>
      </x:c>
      <x:c r="V19" s="42" t="str">
        <x:f>IF(AND('План'!$C18&lt;=V$2+6,'План'!$D18&gt;=V$2),"■","")</x:f>
      </x:c>
      <x:c r="W19" s="42" t="str">
        <x:f>IF(AND('План'!$C18&lt;=W$2+6,'План'!$D18&gt;=W$2),"■","")</x:f>
        <x:v>■</x:v>
      </x:c>
      <x:c r="X19" s="42" t="str">
        <x:f>IF(AND('План'!$C18&lt;=X$2+6,'План'!$D18&gt;=X$2),"■","")</x:f>
        <x:v>■</x:v>
      </x:c>
      <x:c r="Y19" s="42" t="str">
        <x:f>IF(AND('План'!$C18&lt;=Y$2+6,'План'!$D18&gt;=Y$2),"■","")</x:f>
        <x:v>■</x:v>
      </x:c>
      <x:c r="Z19" s="42" t="str">
        <x:f>IF(AND('План'!$C18&lt;=Z$2+6,'План'!$D18&gt;=Z$2),"■","")</x:f>
      </x:c>
      <x:c r="AA19" s="42" t="str">
        <x:f>IF(AND('План'!$C18&lt;=AA$2+6,'План'!$D18&gt;=AA$2),"■","")</x:f>
      </x:c>
      <x:c r="AB19" s="42" t="str">
        <x:f>IF(AND('План'!$C18&lt;=AB$2+6,'План'!$D18&gt;=AB$2),"■","")</x:f>
      </x:c>
      <x:c r="AC19" s="42" t="str">
        <x:f>IF(AND('План'!$C18&lt;=AC$2+6,'План'!$D18&gt;=AC$2),"■","")</x:f>
      </x:c>
      <x:c r="AD19" s="42" t="str">
        <x:f>IF(AND('План'!$C18&lt;=AD$2+6,'План'!$D18&gt;=AD$2),"■","")</x:f>
      </x:c>
      <x:c r="AE19" s="42" t="str">
        <x:f>IF(AND('План'!$C18&lt;=AE$2+6,'План'!$D18&gt;=AE$2),"■","")</x:f>
      </x:c>
      <x:c r="AF19" s="42" t="str">
        <x:f>IF(AND('План'!$C18&lt;=AF$2+6,'План'!$D18&gt;=AF$2),"■","")</x:f>
      </x:c>
      <x:c r="AG19" s="42" t="str">
        <x:f>IF(AND('План'!$C18&lt;=AG$2+6,'План'!$D18&gt;=AG$2),"■","")</x:f>
      </x:c>
      <x:c r="AH19" s="42" t="str">
        <x:f>IF(AND('План'!$C18&lt;=AH$2+6,'План'!$D18&gt;=AH$2),"■","")</x:f>
      </x:c>
      <x:c r="AI19" s="42" t="str">
        <x:f>IF(AND('План'!$C18&lt;=AI$2+6,'План'!$D18&gt;=AI$2),"■","")</x:f>
      </x:c>
      <x:c r="AJ19" s="42" t="str">
        <x:f>IF(AND('План'!$C18&lt;=AJ$2+6,'План'!$D18&gt;=AJ$2),"■","")</x:f>
      </x:c>
      <x:c r="AK19" s="42" t="str">
        <x:f>IF(AND('План'!$C18&lt;=AK$2+6,'План'!$D18&gt;=AK$2),"■","")</x:f>
      </x:c>
      <x:c r="AL19" s="42" t="str">
        <x:f>IF(AND('План'!$C18&lt;=AL$2+6,'План'!$D18&gt;=AL$2),"■","")</x:f>
      </x:c>
      <x:c r="AM19" s="42" t="str">
        <x:f>IF(AND('План'!$C18&lt;=AM$2+6,'План'!$D18&gt;=AM$2),"■","")</x:f>
      </x:c>
      <x:c r="AN19" s="42" t="str">
        <x:f>IF(AND('План'!$C18&lt;=AN$2+6,'План'!$D18&gt;=AN$2),"■","")</x:f>
      </x:c>
    </x:row>
    <x:row r="20" ht="22" customHeight="1">
      <x:c r="A20" t="str">
        <x:f>'План'!A19</x:f>
        <x:v>4.1.2</x:v>
      </x:c>
      <x:c r="B20" t="str">
        <x:f>'План'!B19</x:f>
        <x:v>Доработка IDEF0</x:v>
      </x:c>
      <x:c r="C20" t="str">
        <x:f>'План'!F19</x:f>
        <x:v>ИН</x:v>
      </x:c>
      <x:c r="D20" s="2" t="n">
        <x:f>'План'!C19</x:f>
        <x:v>46468</x:v>
      </x:c>
      <x:c r="E20" s="2" t="n">
        <x:f>'План'!D19</x:f>
        <x:v>46493</x:v>
      </x:c>
      <x:c r="F20" s="42" t="str">
        <x:f>IF(AND('План'!$C19&lt;=F$2+6,'План'!$D19&gt;=F$2),"■","")</x:f>
      </x:c>
      <x:c r="G20" s="42" t="str">
        <x:f>IF(AND('План'!$C19&lt;=G$2+6,'План'!$D19&gt;=G$2),"■","")</x:f>
      </x:c>
      <x:c r="H20" s="42" t="str">
        <x:f>IF(AND('План'!$C19&lt;=H$2+6,'План'!$D19&gt;=H$2),"■","")</x:f>
      </x:c>
      <x:c r="I20" s="42" t="str">
        <x:f>IF(AND('План'!$C19&lt;=I$2+6,'План'!$D19&gt;=I$2),"■","")</x:f>
      </x:c>
      <x:c r="J20" s="42" t="str">
        <x:f>IF(AND('План'!$C19&lt;=J$2+6,'План'!$D19&gt;=J$2),"■","")</x:f>
      </x:c>
      <x:c r="K20" s="42" t="str">
        <x:f>IF(AND('План'!$C19&lt;=K$2+6,'План'!$D19&gt;=K$2),"■","")</x:f>
      </x:c>
      <x:c r="L20" s="42" t="str">
        <x:f>IF(AND('План'!$C19&lt;=L$2+6,'План'!$D19&gt;=L$2),"■","")</x:f>
      </x:c>
      <x:c r="M20" s="42" t="str">
        <x:f>IF(AND('План'!$C19&lt;=M$2+6,'План'!$D19&gt;=M$2),"■","")</x:f>
      </x:c>
      <x:c r="N20" s="42" t="str">
        <x:f>IF(AND('План'!$C19&lt;=N$2+6,'План'!$D19&gt;=N$2),"■","")</x:f>
      </x:c>
      <x:c r="O20" s="42" t="str">
        <x:f>IF(AND('План'!$C19&lt;=O$2+6,'План'!$D19&gt;=O$2),"■","")</x:f>
      </x:c>
      <x:c r="P20" s="42" t="str">
        <x:f>IF(AND('План'!$C19&lt;=P$2+6,'План'!$D19&gt;=P$2),"■","")</x:f>
      </x:c>
      <x:c r="Q20" s="42" t="str">
        <x:f>IF(AND('План'!$C19&lt;=Q$2+6,'План'!$D19&gt;=Q$2),"■","")</x:f>
      </x:c>
      <x:c r="R20" s="42" t="str">
        <x:f>IF(AND('План'!$C19&lt;=R$2+6,'План'!$D19&gt;=R$2),"■","")</x:f>
      </x:c>
      <x:c r="S20" s="42" t="str">
        <x:f>IF(AND('План'!$C19&lt;=S$2+6,'План'!$D19&gt;=S$2),"■","")</x:f>
      </x:c>
      <x:c r="T20" s="42" t="str">
        <x:f>IF(AND('План'!$C19&lt;=T$2+6,'План'!$D19&gt;=T$2),"■","")</x:f>
      </x:c>
      <x:c r="U20" s="42" t="str">
        <x:f>IF(AND('План'!$C19&lt;=U$2+6,'План'!$D19&gt;=U$2),"■","")</x:f>
      </x:c>
      <x:c r="V20" s="42" t="str">
        <x:f>IF(AND('План'!$C19&lt;=V$2+6,'План'!$D19&gt;=V$2),"■","")</x:f>
      </x:c>
      <x:c r="W20" s="42" t="str">
        <x:f>IF(AND('План'!$C19&lt;=W$2+6,'План'!$D19&gt;=W$2),"■","")</x:f>
      </x:c>
      <x:c r="X20" s="42" t="str">
        <x:f>IF(AND('План'!$C19&lt;=X$2+6,'План'!$D19&gt;=X$2),"■","")</x:f>
      </x:c>
      <x:c r="Y20" s="42" t="str">
        <x:f>IF(AND('План'!$C19&lt;=Y$2+6,'План'!$D19&gt;=Y$2),"■","")</x:f>
      </x:c>
      <x:c r="Z20" s="42" t="str">
        <x:f>IF(AND('План'!$C19&lt;=Z$2+6,'План'!$D19&gt;=Z$2),"■","")</x:f>
        <x:v>■</x:v>
      </x:c>
      <x:c r="AA20" s="42" t="str">
        <x:f>IF(AND('План'!$C19&lt;=AA$2+6,'План'!$D19&gt;=AA$2),"■","")</x:f>
        <x:v>■</x:v>
      </x:c>
      <x:c r="AB20" s="42" t="str">
        <x:f>IF(AND('План'!$C19&lt;=AB$2+6,'План'!$D19&gt;=AB$2),"■","")</x:f>
        <x:v>■</x:v>
      </x:c>
      <x:c r="AC20" s="42" t="str">
        <x:f>IF(AND('План'!$C19&lt;=AC$2+6,'План'!$D19&gt;=AC$2),"■","")</x:f>
        <x:v>■</x:v>
      </x:c>
      <x:c r="AD20" s="42" t="str">
        <x:f>IF(AND('План'!$C19&lt;=AD$2+6,'План'!$D19&gt;=AD$2),"■","")</x:f>
      </x:c>
      <x:c r="AE20" s="42" t="str">
        <x:f>IF(AND('План'!$C19&lt;=AE$2+6,'План'!$D19&gt;=AE$2),"■","")</x:f>
      </x:c>
      <x:c r="AF20" s="42" t="str">
        <x:f>IF(AND('План'!$C19&lt;=AF$2+6,'План'!$D19&gt;=AF$2),"■","")</x:f>
      </x:c>
      <x:c r="AG20" s="42" t="str">
        <x:f>IF(AND('План'!$C19&lt;=AG$2+6,'План'!$D19&gt;=AG$2),"■","")</x:f>
      </x:c>
      <x:c r="AH20" s="42" t="str">
        <x:f>IF(AND('План'!$C19&lt;=AH$2+6,'План'!$D19&gt;=AH$2),"■","")</x:f>
      </x:c>
      <x:c r="AI20" s="42" t="str">
        <x:f>IF(AND('План'!$C19&lt;=AI$2+6,'План'!$D19&gt;=AI$2),"■","")</x:f>
      </x:c>
      <x:c r="AJ20" s="42" t="str">
        <x:f>IF(AND('План'!$C19&lt;=AJ$2+6,'План'!$D19&gt;=AJ$2),"■","")</x:f>
      </x:c>
      <x:c r="AK20" s="42" t="str">
        <x:f>IF(AND('План'!$C19&lt;=AK$2+6,'План'!$D19&gt;=AK$2),"■","")</x:f>
      </x:c>
      <x:c r="AL20" s="42" t="str">
        <x:f>IF(AND('План'!$C19&lt;=AL$2+6,'План'!$D19&gt;=AL$2),"■","")</x:f>
      </x:c>
      <x:c r="AM20" s="42" t="str">
        <x:f>IF(AND('План'!$C19&lt;=AM$2+6,'План'!$D19&gt;=AM$2),"■","")</x:f>
      </x:c>
      <x:c r="AN20" s="42" t="str">
        <x:f>IF(AND('План'!$C19&lt;=AN$2+6,'План'!$D19&gt;=AN$2),"■","")</x:f>
      </x:c>
    </x:row>
    <x:row r="21" ht="22" customHeight="1">
      <x:c r="A21" t="str">
        <x:f>'План'!A20</x:f>
        <x:v>4.1.3</x:v>
      </x:c>
      <x:c r="B21" t="str">
        <x:f>'План'!B20</x:f>
        <x:v>Доработка графического BPMN</x:v>
      </x:c>
      <x:c r="C21" t="str">
        <x:f>'План'!F20</x:f>
        <x:v>АР</x:v>
      </x:c>
      <x:c r="D21" s="2" t="n">
        <x:f>'План'!C20</x:f>
        <x:v>46447</x:v>
      </x:c>
      <x:c r="E21" s="2" t="n">
        <x:f>'План'!D20</x:f>
        <x:v>46472</x:v>
      </x:c>
      <x:c r="F21" s="42" t="str">
        <x:f>IF(AND('План'!$C20&lt;=F$2+6,'План'!$D20&gt;=F$2),"■","")</x:f>
      </x:c>
      <x:c r="G21" s="42" t="str">
        <x:f>IF(AND('План'!$C20&lt;=G$2+6,'План'!$D20&gt;=G$2),"■","")</x:f>
      </x:c>
      <x:c r="H21" s="42" t="str">
        <x:f>IF(AND('План'!$C20&lt;=H$2+6,'План'!$D20&gt;=H$2),"■","")</x:f>
      </x:c>
      <x:c r="I21" s="42" t="str">
        <x:f>IF(AND('План'!$C20&lt;=I$2+6,'План'!$D20&gt;=I$2),"■","")</x:f>
      </x:c>
      <x:c r="J21" s="42" t="str">
        <x:f>IF(AND('План'!$C20&lt;=J$2+6,'План'!$D20&gt;=J$2),"■","")</x:f>
      </x:c>
      <x:c r="K21" s="42" t="str">
        <x:f>IF(AND('План'!$C20&lt;=K$2+6,'План'!$D20&gt;=K$2),"■","")</x:f>
      </x:c>
      <x:c r="L21" s="42" t="str">
        <x:f>IF(AND('План'!$C20&lt;=L$2+6,'План'!$D20&gt;=L$2),"■","")</x:f>
      </x:c>
      <x:c r="M21" s="42" t="str">
        <x:f>IF(AND('План'!$C20&lt;=M$2+6,'План'!$D20&gt;=M$2),"■","")</x:f>
      </x:c>
      <x:c r="N21" s="42" t="str">
        <x:f>IF(AND('План'!$C20&lt;=N$2+6,'План'!$D20&gt;=N$2),"■","")</x:f>
      </x:c>
      <x:c r="O21" s="42" t="str">
        <x:f>IF(AND('План'!$C20&lt;=O$2+6,'План'!$D20&gt;=O$2),"■","")</x:f>
      </x:c>
      <x:c r="P21" s="42" t="str">
        <x:f>IF(AND('План'!$C20&lt;=P$2+6,'План'!$D20&gt;=P$2),"■","")</x:f>
      </x:c>
      <x:c r="Q21" s="42" t="str">
        <x:f>IF(AND('План'!$C20&lt;=Q$2+6,'План'!$D20&gt;=Q$2),"■","")</x:f>
      </x:c>
      <x:c r="R21" s="42" t="str">
        <x:f>IF(AND('План'!$C20&lt;=R$2+6,'План'!$D20&gt;=R$2),"■","")</x:f>
      </x:c>
      <x:c r="S21" s="42" t="str">
        <x:f>IF(AND('План'!$C20&lt;=S$2+6,'План'!$D20&gt;=S$2),"■","")</x:f>
      </x:c>
      <x:c r="T21" s="42" t="str">
        <x:f>IF(AND('План'!$C20&lt;=T$2+6,'План'!$D20&gt;=T$2),"■","")</x:f>
      </x:c>
      <x:c r="U21" s="42" t="str">
        <x:f>IF(AND('План'!$C20&lt;=U$2+6,'План'!$D20&gt;=U$2),"■","")</x:f>
      </x:c>
      <x:c r="V21" s="42" t="str">
        <x:f>IF(AND('План'!$C20&lt;=V$2+6,'План'!$D20&gt;=V$2),"■","")</x:f>
      </x:c>
      <x:c r="W21" s="42" t="str">
        <x:f>IF(AND('План'!$C20&lt;=W$2+6,'План'!$D20&gt;=W$2),"■","")</x:f>
        <x:v>■</x:v>
      </x:c>
      <x:c r="X21" s="42" t="str">
        <x:f>IF(AND('План'!$C20&lt;=X$2+6,'План'!$D20&gt;=X$2),"■","")</x:f>
        <x:v>■</x:v>
      </x:c>
      <x:c r="Y21" s="42" t="str">
        <x:f>IF(AND('План'!$C20&lt;=Y$2+6,'План'!$D20&gt;=Y$2),"■","")</x:f>
        <x:v>■</x:v>
      </x:c>
      <x:c r="Z21" s="42" t="str">
        <x:f>IF(AND('План'!$C20&lt;=Z$2+6,'План'!$D20&gt;=Z$2),"■","")</x:f>
        <x:v>■</x:v>
      </x:c>
      <x:c r="AA21" s="42" t="str">
        <x:f>IF(AND('План'!$C20&lt;=AA$2+6,'План'!$D20&gt;=AA$2),"■","")</x:f>
      </x:c>
      <x:c r="AB21" s="42" t="str">
        <x:f>IF(AND('План'!$C20&lt;=AB$2+6,'План'!$D20&gt;=AB$2),"■","")</x:f>
      </x:c>
      <x:c r="AC21" s="42" t="str">
        <x:f>IF(AND('План'!$C20&lt;=AC$2+6,'План'!$D20&gt;=AC$2),"■","")</x:f>
      </x:c>
      <x:c r="AD21" s="42" t="str">
        <x:f>IF(AND('План'!$C20&lt;=AD$2+6,'План'!$D20&gt;=AD$2),"■","")</x:f>
      </x:c>
      <x:c r="AE21" s="42" t="str">
        <x:f>IF(AND('План'!$C20&lt;=AE$2+6,'План'!$D20&gt;=AE$2),"■","")</x:f>
      </x:c>
      <x:c r="AF21" s="42" t="str">
        <x:f>IF(AND('План'!$C20&lt;=AF$2+6,'План'!$D20&gt;=AF$2),"■","")</x:f>
      </x:c>
      <x:c r="AG21" s="42" t="str">
        <x:f>IF(AND('План'!$C20&lt;=AG$2+6,'План'!$D20&gt;=AG$2),"■","")</x:f>
      </x:c>
      <x:c r="AH21" s="42" t="str">
        <x:f>IF(AND('План'!$C20&lt;=AH$2+6,'План'!$D20&gt;=AH$2),"■","")</x:f>
      </x:c>
      <x:c r="AI21" s="42" t="str">
        <x:f>IF(AND('План'!$C20&lt;=AI$2+6,'План'!$D20&gt;=AI$2),"■","")</x:f>
      </x:c>
      <x:c r="AJ21" s="42" t="str">
        <x:f>IF(AND('План'!$C20&lt;=AJ$2+6,'План'!$D20&gt;=AJ$2),"■","")</x:f>
      </x:c>
      <x:c r="AK21" s="42" t="str">
        <x:f>IF(AND('План'!$C20&lt;=AK$2+6,'План'!$D20&gt;=AK$2),"■","")</x:f>
      </x:c>
      <x:c r="AL21" s="42" t="str">
        <x:f>IF(AND('План'!$C20&lt;=AL$2+6,'План'!$D20&gt;=AL$2),"■","")</x:f>
      </x:c>
      <x:c r="AM21" s="42" t="str">
        <x:f>IF(AND('План'!$C20&lt;=AM$2+6,'План'!$D20&gt;=AM$2),"■","")</x:f>
      </x:c>
      <x:c r="AN21" s="42" t="str">
        <x:f>IF(AND('План'!$C20&lt;=AN$2+6,'План'!$D20&gt;=AN$2),"■","")</x:f>
      </x:c>
    </x:row>
    <x:row r="22" ht="22" customHeight="1">
      <x:c r="A22" t="str">
        <x:f>'План'!A21</x:f>
        <x:v>4.1.4</x:v>
      </x:c>
      <x:c r="B22" t="str">
        <x:f>'План'!B21</x:f>
        <x:v>Семантические правила BPMN</x:v>
      </x:c>
      <x:c r="C22" t="str">
        <x:f>'План'!F21</x:f>
        <x:v>ИН</x:v>
      </x:c>
      <x:c r="D22" s="2" t="n">
        <x:f>'План'!C21</x:f>
        <x:v>46475</x:v>
      </x:c>
      <x:c r="E22" s="2" t="n">
        <x:f>'План'!D21</x:f>
        <x:v>46507</x:v>
      </x:c>
      <x:c r="F22" s="42" t="str">
        <x:f>IF(AND('План'!$C21&lt;=F$2+6,'План'!$D21&gt;=F$2),"■","")</x:f>
      </x:c>
      <x:c r="G22" s="42" t="str">
        <x:f>IF(AND('План'!$C21&lt;=G$2+6,'План'!$D21&gt;=G$2),"■","")</x:f>
      </x:c>
      <x:c r="H22" s="42" t="str">
        <x:f>IF(AND('План'!$C21&lt;=H$2+6,'План'!$D21&gt;=H$2),"■","")</x:f>
      </x:c>
      <x:c r="I22" s="42" t="str">
        <x:f>IF(AND('План'!$C21&lt;=I$2+6,'План'!$D21&gt;=I$2),"■","")</x:f>
      </x:c>
      <x:c r="J22" s="42" t="str">
        <x:f>IF(AND('План'!$C21&lt;=J$2+6,'План'!$D21&gt;=J$2),"■","")</x:f>
      </x:c>
      <x:c r="K22" s="42" t="str">
        <x:f>IF(AND('План'!$C21&lt;=K$2+6,'План'!$D21&gt;=K$2),"■","")</x:f>
      </x:c>
      <x:c r="L22" s="42" t="str">
        <x:f>IF(AND('План'!$C21&lt;=L$2+6,'План'!$D21&gt;=L$2),"■","")</x:f>
      </x:c>
      <x:c r="M22" s="42" t="str">
        <x:f>IF(AND('План'!$C21&lt;=M$2+6,'План'!$D21&gt;=M$2),"■","")</x:f>
      </x:c>
      <x:c r="N22" s="42" t="str">
        <x:f>IF(AND('План'!$C21&lt;=N$2+6,'План'!$D21&gt;=N$2),"■","")</x:f>
      </x:c>
      <x:c r="O22" s="42" t="str">
        <x:f>IF(AND('План'!$C21&lt;=O$2+6,'План'!$D21&gt;=O$2),"■","")</x:f>
      </x:c>
      <x:c r="P22" s="42" t="str">
        <x:f>IF(AND('План'!$C21&lt;=P$2+6,'План'!$D21&gt;=P$2),"■","")</x:f>
      </x:c>
      <x:c r="Q22" s="42" t="str">
        <x:f>IF(AND('План'!$C21&lt;=Q$2+6,'План'!$D21&gt;=Q$2),"■","")</x:f>
      </x:c>
      <x:c r="R22" s="42" t="str">
        <x:f>IF(AND('План'!$C21&lt;=R$2+6,'План'!$D21&gt;=R$2),"■","")</x:f>
      </x:c>
      <x:c r="S22" s="42" t="str">
        <x:f>IF(AND('План'!$C21&lt;=S$2+6,'План'!$D21&gt;=S$2),"■","")</x:f>
      </x:c>
      <x:c r="T22" s="42" t="str">
        <x:f>IF(AND('План'!$C21&lt;=T$2+6,'План'!$D21&gt;=T$2),"■","")</x:f>
      </x:c>
      <x:c r="U22" s="42" t="str">
        <x:f>IF(AND('План'!$C21&lt;=U$2+6,'План'!$D21&gt;=U$2),"■","")</x:f>
      </x:c>
      <x:c r="V22" s="42" t="str">
        <x:f>IF(AND('План'!$C21&lt;=V$2+6,'План'!$D21&gt;=V$2),"■","")</x:f>
      </x:c>
      <x:c r="W22" s="42" t="str">
        <x:f>IF(AND('План'!$C21&lt;=W$2+6,'План'!$D21&gt;=W$2),"■","")</x:f>
      </x:c>
      <x:c r="X22" s="42" t="str">
        <x:f>IF(AND('План'!$C21&lt;=X$2+6,'План'!$D21&gt;=X$2),"■","")</x:f>
      </x:c>
      <x:c r="Y22" s="42" t="str">
        <x:f>IF(AND('План'!$C21&lt;=Y$2+6,'План'!$D21&gt;=Y$2),"■","")</x:f>
      </x:c>
      <x:c r="Z22" s="42" t="str">
        <x:f>IF(AND('План'!$C21&lt;=Z$2+6,'План'!$D21&gt;=Z$2),"■","")</x:f>
      </x:c>
      <x:c r="AA22" s="42" t="str">
        <x:f>IF(AND('План'!$C21&lt;=AA$2+6,'План'!$D21&gt;=AA$2),"■","")</x:f>
        <x:v>■</x:v>
      </x:c>
      <x:c r="AB22" s="42" t="str">
        <x:f>IF(AND('План'!$C21&lt;=AB$2+6,'План'!$D21&gt;=AB$2),"■","")</x:f>
        <x:v>■</x:v>
      </x:c>
      <x:c r="AC22" s="42" t="str">
        <x:f>IF(AND('План'!$C21&lt;=AC$2+6,'План'!$D21&gt;=AC$2),"■","")</x:f>
        <x:v>■</x:v>
      </x:c>
      <x:c r="AD22" s="42" t="str">
        <x:f>IF(AND('План'!$C21&lt;=AD$2+6,'План'!$D21&gt;=AD$2),"■","")</x:f>
        <x:v>■</x:v>
      </x:c>
      <x:c r="AE22" s="42" t="str">
        <x:f>IF(AND('План'!$C21&lt;=AE$2+6,'План'!$D21&gt;=AE$2),"■","")</x:f>
        <x:v>■</x:v>
      </x:c>
      <x:c r="AF22" s="42" t="str">
        <x:f>IF(AND('План'!$C21&lt;=AF$2+6,'План'!$D21&gt;=AF$2),"■","")</x:f>
      </x:c>
      <x:c r="AG22" s="42" t="str">
        <x:f>IF(AND('План'!$C21&lt;=AG$2+6,'План'!$D21&gt;=AG$2),"■","")</x:f>
      </x:c>
      <x:c r="AH22" s="42" t="str">
        <x:f>IF(AND('План'!$C21&lt;=AH$2+6,'План'!$D21&gt;=AH$2),"■","")</x:f>
      </x:c>
      <x:c r="AI22" s="42" t="str">
        <x:f>IF(AND('План'!$C21&lt;=AI$2+6,'План'!$D21&gt;=AI$2),"■","")</x:f>
      </x:c>
      <x:c r="AJ22" s="42" t="str">
        <x:f>IF(AND('План'!$C21&lt;=AJ$2+6,'План'!$D21&gt;=AJ$2),"■","")</x:f>
      </x:c>
      <x:c r="AK22" s="42" t="str">
        <x:f>IF(AND('План'!$C21&lt;=AK$2+6,'План'!$D21&gt;=AK$2),"■","")</x:f>
      </x:c>
      <x:c r="AL22" s="42" t="str">
        <x:f>IF(AND('План'!$C21&lt;=AL$2+6,'План'!$D21&gt;=AL$2),"■","")</x:f>
      </x:c>
      <x:c r="AM22" s="42" t="str">
        <x:f>IF(AND('План'!$C21&lt;=AM$2+6,'План'!$D21&gt;=AM$2),"■","")</x:f>
      </x:c>
      <x:c r="AN22" s="42" t="str">
        <x:f>IF(AND('План'!$C21&lt;=AN$2+6,'План'!$D21&gt;=AN$2),"■","")</x:f>
      </x:c>
    </x:row>
    <x:row r="23" ht="22" customHeight="1">
      <x:c r="A23" t="str">
        <x:f>'План'!A22</x:f>
        <x:v>4.2.1</x:v>
      </x:c>
      <x:c r="B23" t="str">
        <x:f>'План'!B22</x:f>
        <x:v>Доработка UML-профилей</x:v>
      </x:c>
      <x:c r="C23" t="str">
        <x:f>'План'!F22</x:f>
        <x:v>ИН</x:v>
      </x:c>
      <x:c r="D23" s="2" t="n">
        <x:f>'План'!C22</x:f>
        <x:v>46496</x:v>
      </x:c>
      <x:c r="E23" s="2" t="n">
        <x:f>'План'!D22</x:f>
        <x:v>46521</x:v>
      </x:c>
      <x:c r="F23" s="42" t="str">
        <x:f>IF(AND('План'!$C22&lt;=F$2+6,'План'!$D22&gt;=F$2),"■","")</x:f>
      </x:c>
      <x:c r="G23" s="42" t="str">
        <x:f>IF(AND('План'!$C22&lt;=G$2+6,'План'!$D22&gt;=G$2),"■","")</x:f>
      </x:c>
      <x:c r="H23" s="42" t="str">
        <x:f>IF(AND('План'!$C22&lt;=H$2+6,'План'!$D22&gt;=H$2),"■","")</x:f>
      </x:c>
      <x:c r="I23" s="42" t="str">
        <x:f>IF(AND('План'!$C22&lt;=I$2+6,'План'!$D22&gt;=I$2),"■","")</x:f>
      </x:c>
      <x:c r="J23" s="42" t="str">
        <x:f>IF(AND('План'!$C22&lt;=J$2+6,'План'!$D22&gt;=J$2),"■","")</x:f>
      </x:c>
      <x:c r="K23" s="42" t="str">
        <x:f>IF(AND('План'!$C22&lt;=K$2+6,'План'!$D22&gt;=K$2),"■","")</x:f>
      </x:c>
      <x:c r="L23" s="42" t="str">
        <x:f>IF(AND('План'!$C22&lt;=L$2+6,'План'!$D22&gt;=L$2),"■","")</x:f>
      </x:c>
      <x:c r="M23" s="42" t="str">
        <x:f>IF(AND('План'!$C22&lt;=M$2+6,'План'!$D22&gt;=M$2),"■","")</x:f>
      </x:c>
      <x:c r="N23" s="42" t="str">
        <x:f>IF(AND('План'!$C22&lt;=N$2+6,'План'!$D22&gt;=N$2),"■","")</x:f>
      </x:c>
      <x:c r="O23" s="42" t="str">
        <x:f>IF(AND('План'!$C22&lt;=O$2+6,'План'!$D22&gt;=O$2),"■","")</x:f>
      </x:c>
      <x:c r="P23" s="42" t="str">
        <x:f>IF(AND('План'!$C22&lt;=P$2+6,'План'!$D22&gt;=P$2),"■","")</x:f>
      </x:c>
      <x:c r="Q23" s="42" t="str">
        <x:f>IF(AND('План'!$C22&lt;=Q$2+6,'План'!$D22&gt;=Q$2),"■","")</x:f>
      </x:c>
      <x:c r="R23" s="42" t="str">
        <x:f>IF(AND('План'!$C22&lt;=R$2+6,'План'!$D22&gt;=R$2),"■","")</x:f>
      </x:c>
      <x:c r="S23" s="42" t="str">
        <x:f>IF(AND('План'!$C22&lt;=S$2+6,'План'!$D22&gt;=S$2),"■","")</x:f>
      </x:c>
      <x:c r="T23" s="42" t="str">
        <x:f>IF(AND('План'!$C22&lt;=T$2+6,'План'!$D22&gt;=T$2),"■","")</x:f>
      </x:c>
      <x:c r="U23" s="42" t="str">
        <x:f>IF(AND('План'!$C22&lt;=U$2+6,'План'!$D22&gt;=U$2),"■","")</x:f>
      </x:c>
      <x:c r="V23" s="42" t="str">
        <x:f>IF(AND('План'!$C22&lt;=V$2+6,'План'!$D22&gt;=V$2),"■","")</x:f>
      </x:c>
      <x:c r="W23" s="42" t="str">
        <x:f>IF(AND('План'!$C22&lt;=W$2+6,'План'!$D22&gt;=W$2),"■","")</x:f>
      </x:c>
      <x:c r="X23" s="42" t="str">
        <x:f>IF(AND('План'!$C22&lt;=X$2+6,'План'!$D22&gt;=X$2),"■","")</x:f>
      </x:c>
      <x:c r="Y23" s="42" t="str">
        <x:f>IF(AND('План'!$C22&lt;=Y$2+6,'План'!$D22&gt;=Y$2),"■","")</x:f>
      </x:c>
      <x:c r="Z23" s="42" t="str">
        <x:f>IF(AND('План'!$C22&lt;=Z$2+6,'План'!$D22&gt;=Z$2),"■","")</x:f>
      </x:c>
      <x:c r="AA23" s="42" t="str">
        <x:f>IF(AND('План'!$C22&lt;=AA$2+6,'План'!$D22&gt;=AA$2),"■","")</x:f>
      </x:c>
      <x:c r="AB23" s="42" t="str">
        <x:f>IF(AND('План'!$C22&lt;=AB$2+6,'План'!$D22&gt;=AB$2),"■","")</x:f>
      </x:c>
      <x:c r="AC23" s="42" t="str">
        <x:f>IF(AND('План'!$C22&lt;=AC$2+6,'План'!$D22&gt;=AC$2),"■","")</x:f>
      </x:c>
      <x:c r="AD23" s="42" t="str">
        <x:f>IF(AND('План'!$C22&lt;=AD$2+6,'План'!$D22&gt;=AD$2),"■","")</x:f>
        <x:v>■</x:v>
      </x:c>
      <x:c r="AE23" s="42" t="str">
        <x:f>IF(AND('План'!$C22&lt;=AE$2+6,'План'!$D22&gt;=AE$2),"■","")</x:f>
        <x:v>■</x:v>
      </x:c>
      <x:c r="AF23" s="42" t="str">
        <x:f>IF(AND('План'!$C22&lt;=AF$2+6,'План'!$D22&gt;=AF$2),"■","")</x:f>
        <x:v>■</x:v>
      </x:c>
      <x:c r="AG23" s="42" t="str">
        <x:f>IF(AND('План'!$C22&lt;=AG$2+6,'План'!$D22&gt;=AG$2),"■","")</x:f>
        <x:v>■</x:v>
      </x:c>
      <x:c r="AH23" s="42" t="str">
        <x:f>IF(AND('План'!$C22&lt;=AH$2+6,'План'!$D22&gt;=AH$2),"■","")</x:f>
      </x:c>
      <x:c r="AI23" s="42" t="str">
        <x:f>IF(AND('План'!$C22&lt;=AI$2+6,'План'!$D22&gt;=AI$2),"■","")</x:f>
      </x:c>
      <x:c r="AJ23" s="42" t="str">
        <x:f>IF(AND('План'!$C22&lt;=AJ$2+6,'План'!$D22&gt;=AJ$2),"■","")</x:f>
      </x:c>
      <x:c r="AK23" s="42" t="str">
        <x:f>IF(AND('План'!$C22&lt;=AK$2+6,'План'!$D22&gt;=AK$2),"■","")</x:f>
      </x:c>
      <x:c r="AL23" s="42" t="str">
        <x:f>IF(AND('План'!$C22&lt;=AL$2+6,'План'!$D22&gt;=AL$2),"■","")</x:f>
      </x:c>
      <x:c r="AM23" s="42" t="str">
        <x:f>IF(AND('План'!$C22&lt;=AM$2+6,'План'!$D22&gt;=AM$2),"■","")</x:f>
      </x:c>
      <x:c r="AN23" s="42" t="str">
        <x:f>IF(AND('План'!$C22&lt;=AN$2+6,'План'!$D22&gt;=AN$2),"■","")</x:f>
      </x:c>
    </x:row>
    <x:row r="24" ht="22" customHeight="1">
      <x:c r="A24" t="str">
        <x:f>'План'!A23</x:f>
        <x:v>4.2.2</x:v>
      </x:c>
      <x:c r="B24" t="str">
        <x:f>'План'!B23</x:f>
        <x:v>Проверка text ↔ diagram round-trip</x:v>
      </x:c>
      <x:c r="C24" t="str">
        <x:f>'План'!F23</x:f>
        <x:v>АР</x:v>
      </x:c>
      <x:c r="D24" s="2" t="n">
        <x:f>'План'!C23</x:f>
        <x:v>46489</x:v>
      </x:c>
      <x:c r="E24" s="2" t="n">
        <x:f>'План'!D23</x:f>
        <x:v>46514</x:v>
      </x:c>
      <x:c r="F24" s="42" t="str">
        <x:f>IF(AND('План'!$C23&lt;=F$2+6,'План'!$D23&gt;=F$2),"■","")</x:f>
      </x:c>
      <x:c r="G24" s="42" t="str">
        <x:f>IF(AND('План'!$C23&lt;=G$2+6,'План'!$D23&gt;=G$2),"■","")</x:f>
      </x:c>
      <x:c r="H24" s="42" t="str">
        <x:f>IF(AND('План'!$C23&lt;=H$2+6,'План'!$D23&gt;=H$2),"■","")</x:f>
      </x:c>
      <x:c r="I24" s="42" t="str">
        <x:f>IF(AND('План'!$C23&lt;=I$2+6,'План'!$D23&gt;=I$2),"■","")</x:f>
      </x:c>
      <x:c r="J24" s="42" t="str">
        <x:f>IF(AND('План'!$C23&lt;=J$2+6,'План'!$D23&gt;=J$2),"■","")</x:f>
      </x:c>
      <x:c r="K24" s="42" t="str">
        <x:f>IF(AND('План'!$C23&lt;=K$2+6,'План'!$D23&gt;=K$2),"■","")</x:f>
      </x:c>
      <x:c r="L24" s="42" t="str">
        <x:f>IF(AND('План'!$C23&lt;=L$2+6,'План'!$D23&gt;=L$2),"■","")</x:f>
      </x:c>
      <x:c r="M24" s="42" t="str">
        <x:f>IF(AND('План'!$C23&lt;=M$2+6,'План'!$D23&gt;=M$2),"■","")</x:f>
      </x:c>
      <x:c r="N24" s="42" t="str">
        <x:f>IF(AND('План'!$C23&lt;=N$2+6,'План'!$D23&gt;=N$2),"■","")</x:f>
      </x:c>
      <x:c r="O24" s="42" t="str">
        <x:f>IF(AND('План'!$C23&lt;=O$2+6,'План'!$D23&gt;=O$2),"■","")</x:f>
      </x:c>
      <x:c r="P24" s="42" t="str">
        <x:f>IF(AND('План'!$C23&lt;=P$2+6,'План'!$D23&gt;=P$2),"■","")</x:f>
      </x:c>
      <x:c r="Q24" s="42" t="str">
        <x:f>IF(AND('План'!$C23&lt;=Q$2+6,'План'!$D23&gt;=Q$2),"■","")</x:f>
      </x:c>
      <x:c r="R24" s="42" t="str">
        <x:f>IF(AND('План'!$C23&lt;=R$2+6,'План'!$D23&gt;=R$2),"■","")</x:f>
      </x:c>
      <x:c r="S24" s="42" t="str">
        <x:f>IF(AND('План'!$C23&lt;=S$2+6,'План'!$D23&gt;=S$2),"■","")</x:f>
      </x:c>
      <x:c r="T24" s="42" t="str">
        <x:f>IF(AND('План'!$C23&lt;=T$2+6,'План'!$D23&gt;=T$2),"■","")</x:f>
      </x:c>
      <x:c r="U24" s="42" t="str">
        <x:f>IF(AND('План'!$C23&lt;=U$2+6,'План'!$D23&gt;=U$2),"■","")</x:f>
      </x:c>
      <x:c r="V24" s="42" t="str">
        <x:f>IF(AND('План'!$C23&lt;=V$2+6,'План'!$D23&gt;=V$2),"■","")</x:f>
      </x:c>
      <x:c r="W24" s="42" t="str">
        <x:f>IF(AND('План'!$C23&lt;=W$2+6,'План'!$D23&gt;=W$2),"■","")</x:f>
      </x:c>
      <x:c r="X24" s="42" t="str">
        <x:f>IF(AND('План'!$C23&lt;=X$2+6,'План'!$D23&gt;=X$2),"■","")</x:f>
      </x:c>
      <x:c r="Y24" s="42" t="str">
        <x:f>IF(AND('План'!$C23&lt;=Y$2+6,'План'!$D23&gt;=Y$2),"■","")</x:f>
      </x:c>
      <x:c r="Z24" s="42" t="str">
        <x:f>IF(AND('План'!$C23&lt;=Z$2+6,'План'!$D23&gt;=Z$2),"■","")</x:f>
      </x:c>
      <x:c r="AA24" s="42" t="str">
        <x:f>IF(AND('План'!$C23&lt;=AA$2+6,'План'!$D23&gt;=AA$2),"■","")</x:f>
      </x:c>
      <x:c r="AB24" s="42" t="str">
        <x:f>IF(AND('План'!$C23&lt;=AB$2+6,'План'!$D23&gt;=AB$2),"■","")</x:f>
      </x:c>
      <x:c r="AC24" s="42" t="str">
        <x:f>IF(AND('План'!$C23&lt;=AC$2+6,'План'!$D23&gt;=AC$2),"■","")</x:f>
        <x:v>■</x:v>
      </x:c>
      <x:c r="AD24" s="42" t="str">
        <x:f>IF(AND('План'!$C23&lt;=AD$2+6,'План'!$D23&gt;=AD$2),"■","")</x:f>
        <x:v>■</x:v>
      </x:c>
      <x:c r="AE24" s="42" t="str">
        <x:f>IF(AND('План'!$C23&lt;=AE$2+6,'План'!$D23&gt;=AE$2),"■","")</x:f>
        <x:v>■</x:v>
      </x:c>
      <x:c r="AF24" s="42" t="str">
        <x:f>IF(AND('План'!$C23&lt;=AF$2+6,'План'!$D23&gt;=AF$2),"■","")</x:f>
        <x:v>■</x:v>
      </x:c>
      <x:c r="AG24" s="42" t="str">
        <x:f>IF(AND('План'!$C23&lt;=AG$2+6,'План'!$D23&gt;=AG$2),"■","")</x:f>
      </x:c>
      <x:c r="AH24" s="42" t="str">
        <x:f>IF(AND('План'!$C23&lt;=AH$2+6,'План'!$D23&gt;=AH$2),"■","")</x:f>
      </x:c>
      <x:c r="AI24" s="42" t="str">
        <x:f>IF(AND('План'!$C23&lt;=AI$2+6,'План'!$D23&gt;=AI$2),"■","")</x:f>
      </x:c>
      <x:c r="AJ24" s="42" t="str">
        <x:f>IF(AND('План'!$C23&lt;=AJ$2+6,'План'!$D23&gt;=AJ$2),"■","")</x:f>
      </x:c>
      <x:c r="AK24" s="42" t="str">
        <x:f>IF(AND('План'!$C23&lt;=AK$2+6,'План'!$D23&gt;=AK$2),"■","")</x:f>
      </x:c>
      <x:c r="AL24" s="42" t="str">
        <x:f>IF(AND('План'!$C23&lt;=AL$2+6,'План'!$D23&gt;=AL$2),"■","")</x:f>
      </x:c>
      <x:c r="AM24" s="42" t="str">
        <x:f>IF(AND('План'!$C23&lt;=AM$2+6,'План'!$D23&gt;=AM$2),"■","")</x:f>
      </x:c>
      <x:c r="AN24" s="42" t="str">
        <x:f>IF(AND('План'!$C23&lt;=AN$2+6,'План'!$D23&gt;=AN$2),"■","")</x:f>
      </x:c>
    </x:row>
    <x:row r="25" ht="22" customHeight="1">
      <x:c r="A25" t="str">
        <x:f>'План'!A24</x:f>
        <x:v>4.2.3</x:v>
      </x:c>
      <x:c r="B25" t="str">
        <x:f>'План'!B24</x:f>
        <x:v>Библиотека примеров и шаблонов</x:v>
      </x:c>
      <x:c r="C25" t="str">
        <x:f>'План'!F24</x:f>
        <x:v>UX</x:v>
      </x:c>
      <x:c r="D25" s="2" t="n">
        <x:f>'План'!C24</x:f>
        <x:v>46510</x:v>
      </x:c>
      <x:c r="E25" s="2" t="n">
        <x:f>'План'!D24</x:f>
        <x:v>46528</x:v>
      </x:c>
      <x:c r="F25" s="42" t="str">
        <x:f>IF(AND('План'!$C24&lt;=F$2+6,'План'!$D24&gt;=F$2),"■","")</x:f>
      </x:c>
      <x:c r="G25" s="42" t="str">
        <x:f>IF(AND('План'!$C24&lt;=G$2+6,'План'!$D24&gt;=G$2),"■","")</x:f>
      </x:c>
      <x:c r="H25" s="42" t="str">
        <x:f>IF(AND('План'!$C24&lt;=H$2+6,'План'!$D24&gt;=H$2),"■","")</x:f>
      </x:c>
      <x:c r="I25" s="42" t="str">
        <x:f>IF(AND('План'!$C24&lt;=I$2+6,'План'!$D24&gt;=I$2),"■","")</x:f>
      </x:c>
      <x:c r="J25" s="42" t="str">
        <x:f>IF(AND('План'!$C24&lt;=J$2+6,'План'!$D24&gt;=J$2),"■","")</x:f>
      </x:c>
      <x:c r="K25" s="42" t="str">
        <x:f>IF(AND('План'!$C24&lt;=K$2+6,'План'!$D24&gt;=K$2),"■","")</x:f>
      </x:c>
      <x:c r="L25" s="42" t="str">
        <x:f>IF(AND('План'!$C24&lt;=L$2+6,'План'!$D24&gt;=L$2),"■","")</x:f>
      </x:c>
      <x:c r="M25" s="42" t="str">
        <x:f>IF(AND('План'!$C24&lt;=M$2+6,'План'!$D24&gt;=M$2),"■","")</x:f>
      </x:c>
      <x:c r="N25" s="42" t="str">
        <x:f>IF(AND('План'!$C24&lt;=N$2+6,'План'!$D24&gt;=N$2),"■","")</x:f>
      </x:c>
      <x:c r="O25" s="42" t="str">
        <x:f>IF(AND('План'!$C24&lt;=O$2+6,'План'!$D24&gt;=O$2),"■","")</x:f>
      </x:c>
      <x:c r="P25" s="42" t="str">
        <x:f>IF(AND('План'!$C24&lt;=P$2+6,'План'!$D24&gt;=P$2),"■","")</x:f>
      </x:c>
      <x:c r="Q25" s="42" t="str">
        <x:f>IF(AND('План'!$C24&lt;=Q$2+6,'План'!$D24&gt;=Q$2),"■","")</x:f>
      </x:c>
      <x:c r="R25" s="42" t="str">
        <x:f>IF(AND('План'!$C24&lt;=R$2+6,'План'!$D24&gt;=R$2),"■","")</x:f>
      </x:c>
      <x:c r="S25" s="42" t="str">
        <x:f>IF(AND('План'!$C24&lt;=S$2+6,'План'!$D24&gt;=S$2),"■","")</x:f>
      </x:c>
      <x:c r="T25" s="42" t="str">
        <x:f>IF(AND('План'!$C24&lt;=T$2+6,'План'!$D24&gt;=T$2),"■","")</x:f>
      </x:c>
      <x:c r="U25" s="42" t="str">
        <x:f>IF(AND('План'!$C24&lt;=U$2+6,'План'!$D24&gt;=U$2),"■","")</x:f>
      </x:c>
      <x:c r="V25" s="42" t="str">
        <x:f>IF(AND('План'!$C24&lt;=V$2+6,'План'!$D24&gt;=V$2),"■","")</x:f>
      </x:c>
      <x:c r="W25" s="42" t="str">
        <x:f>IF(AND('План'!$C24&lt;=W$2+6,'План'!$D24&gt;=W$2),"■","")</x:f>
      </x:c>
      <x:c r="X25" s="42" t="str">
        <x:f>IF(AND('План'!$C24&lt;=X$2+6,'План'!$D24&gt;=X$2),"■","")</x:f>
      </x:c>
      <x:c r="Y25" s="42" t="str">
        <x:f>IF(AND('План'!$C24&lt;=Y$2+6,'План'!$D24&gt;=Y$2),"■","")</x:f>
      </x:c>
      <x:c r="Z25" s="42" t="str">
        <x:f>IF(AND('План'!$C24&lt;=Z$2+6,'План'!$D24&gt;=Z$2),"■","")</x:f>
      </x:c>
      <x:c r="AA25" s="42" t="str">
        <x:f>IF(AND('План'!$C24&lt;=AA$2+6,'План'!$D24&gt;=AA$2),"■","")</x:f>
      </x:c>
      <x:c r="AB25" s="42" t="str">
        <x:f>IF(AND('План'!$C24&lt;=AB$2+6,'План'!$D24&gt;=AB$2),"■","")</x:f>
      </x:c>
      <x:c r="AC25" s="42" t="str">
        <x:f>IF(AND('План'!$C24&lt;=AC$2+6,'План'!$D24&gt;=AC$2),"■","")</x:f>
      </x:c>
      <x:c r="AD25" s="42" t="str">
        <x:f>IF(AND('План'!$C24&lt;=AD$2+6,'План'!$D24&gt;=AD$2),"■","")</x:f>
      </x:c>
      <x:c r="AE25" s="42" t="str">
        <x:f>IF(AND('План'!$C24&lt;=AE$2+6,'План'!$D24&gt;=AE$2),"■","")</x:f>
      </x:c>
      <x:c r="AF25" s="42" t="str">
        <x:f>IF(AND('План'!$C24&lt;=AF$2+6,'План'!$D24&gt;=AF$2),"■","")</x:f>
        <x:v>■</x:v>
      </x:c>
      <x:c r="AG25" s="42" t="str">
        <x:f>IF(AND('План'!$C24&lt;=AG$2+6,'План'!$D24&gt;=AG$2),"■","")</x:f>
        <x:v>■</x:v>
      </x:c>
      <x:c r="AH25" s="42" t="str">
        <x:f>IF(AND('План'!$C24&lt;=AH$2+6,'План'!$D24&gt;=AH$2),"■","")</x:f>
        <x:v>■</x:v>
      </x:c>
      <x:c r="AI25" s="42" t="str">
        <x:f>IF(AND('План'!$C24&lt;=AI$2+6,'План'!$D24&gt;=AI$2),"■","")</x:f>
      </x:c>
      <x:c r="AJ25" s="42" t="str">
        <x:f>IF(AND('План'!$C24&lt;=AJ$2+6,'План'!$D24&gt;=AJ$2),"■","")</x:f>
      </x:c>
      <x:c r="AK25" s="42" t="str">
        <x:f>IF(AND('План'!$C24&lt;=AK$2+6,'План'!$D24&gt;=AK$2),"■","")</x:f>
      </x:c>
      <x:c r="AL25" s="42" t="str">
        <x:f>IF(AND('План'!$C24&lt;=AL$2+6,'План'!$D24&gt;=AL$2),"■","")</x:f>
      </x:c>
      <x:c r="AM25" s="42" t="str">
        <x:f>IF(AND('План'!$C24&lt;=AM$2+6,'План'!$D24&gt;=AM$2),"■","")</x:f>
      </x:c>
      <x:c r="AN25" s="42" t="str">
        <x:f>IF(AND('План'!$C24&lt;=AN$2+6,'План'!$D24&gt;=AN$2),"■","")</x:f>
      </x:c>
    </x:row>
    <x:row r="26" ht="22" customHeight="1">
      <x:c r="A26" t="str">
        <x:f>'План'!A25</x:f>
        <x:v>4.2.4</x:v>
      </x:c>
      <x:c r="B26" t="str">
        <x:f>'План'!B25</x:f>
        <x:v>Интеграция и исправление дефектов</x:v>
      </x:c>
      <x:c r="C26" t="str">
        <x:f>'План'!F25</x:f>
        <x:v>ИН</x:v>
      </x:c>
      <x:c r="D26" s="2" t="n">
        <x:f>'План'!C25</x:f>
        <x:v>46524</x:v>
      </x:c>
      <x:c r="E26" s="2" t="n">
        <x:f>'План'!D25</x:f>
        <x:v>46535</x:v>
      </x:c>
      <x:c r="F26" s="42" t="str">
        <x:f>IF(AND('План'!$C25&lt;=F$2+6,'План'!$D25&gt;=F$2),"■","")</x:f>
      </x:c>
      <x:c r="G26" s="42" t="str">
        <x:f>IF(AND('План'!$C25&lt;=G$2+6,'План'!$D25&gt;=G$2),"■","")</x:f>
      </x:c>
      <x:c r="H26" s="42" t="str">
        <x:f>IF(AND('План'!$C25&lt;=H$2+6,'План'!$D25&gt;=H$2),"■","")</x:f>
      </x:c>
      <x:c r="I26" s="42" t="str">
        <x:f>IF(AND('План'!$C25&lt;=I$2+6,'План'!$D25&gt;=I$2),"■","")</x:f>
      </x:c>
      <x:c r="J26" s="42" t="str">
        <x:f>IF(AND('План'!$C25&lt;=J$2+6,'План'!$D25&gt;=J$2),"■","")</x:f>
      </x:c>
      <x:c r="K26" s="42" t="str">
        <x:f>IF(AND('План'!$C25&lt;=K$2+6,'План'!$D25&gt;=K$2),"■","")</x:f>
      </x:c>
      <x:c r="L26" s="42" t="str">
        <x:f>IF(AND('План'!$C25&lt;=L$2+6,'План'!$D25&gt;=L$2),"■","")</x:f>
      </x:c>
      <x:c r="M26" s="42" t="str">
        <x:f>IF(AND('План'!$C25&lt;=M$2+6,'План'!$D25&gt;=M$2),"■","")</x:f>
      </x:c>
      <x:c r="N26" s="42" t="str">
        <x:f>IF(AND('План'!$C25&lt;=N$2+6,'План'!$D25&gt;=N$2),"■","")</x:f>
      </x:c>
      <x:c r="O26" s="42" t="str">
        <x:f>IF(AND('План'!$C25&lt;=O$2+6,'План'!$D25&gt;=O$2),"■","")</x:f>
      </x:c>
      <x:c r="P26" s="42" t="str">
        <x:f>IF(AND('План'!$C25&lt;=P$2+6,'План'!$D25&gt;=P$2),"■","")</x:f>
      </x:c>
      <x:c r="Q26" s="42" t="str">
        <x:f>IF(AND('План'!$C25&lt;=Q$2+6,'План'!$D25&gt;=Q$2),"■","")</x:f>
      </x:c>
      <x:c r="R26" s="42" t="str">
        <x:f>IF(AND('План'!$C25&lt;=R$2+6,'План'!$D25&gt;=R$2),"■","")</x:f>
      </x:c>
      <x:c r="S26" s="42" t="str">
        <x:f>IF(AND('План'!$C25&lt;=S$2+6,'План'!$D25&gt;=S$2),"■","")</x:f>
      </x:c>
      <x:c r="T26" s="42" t="str">
        <x:f>IF(AND('План'!$C25&lt;=T$2+6,'План'!$D25&gt;=T$2),"■","")</x:f>
      </x:c>
      <x:c r="U26" s="42" t="str">
        <x:f>IF(AND('План'!$C25&lt;=U$2+6,'План'!$D25&gt;=U$2),"■","")</x:f>
      </x:c>
      <x:c r="V26" s="42" t="str">
        <x:f>IF(AND('План'!$C25&lt;=V$2+6,'План'!$D25&gt;=V$2),"■","")</x:f>
      </x:c>
      <x:c r="W26" s="42" t="str">
        <x:f>IF(AND('План'!$C25&lt;=W$2+6,'План'!$D25&gt;=W$2),"■","")</x:f>
      </x:c>
      <x:c r="X26" s="42" t="str">
        <x:f>IF(AND('План'!$C25&lt;=X$2+6,'План'!$D25&gt;=X$2),"■","")</x:f>
      </x:c>
      <x:c r="Y26" s="42" t="str">
        <x:f>IF(AND('План'!$C25&lt;=Y$2+6,'План'!$D25&gt;=Y$2),"■","")</x:f>
      </x:c>
      <x:c r="Z26" s="42" t="str">
        <x:f>IF(AND('План'!$C25&lt;=Z$2+6,'План'!$D25&gt;=Z$2),"■","")</x:f>
      </x:c>
      <x:c r="AA26" s="42" t="str">
        <x:f>IF(AND('План'!$C25&lt;=AA$2+6,'План'!$D25&gt;=AA$2),"■","")</x:f>
      </x:c>
      <x:c r="AB26" s="42" t="str">
        <x:f>IF(AND('План'!$C25&lt;=AB$2+6,'План'!$D25&gt;=AB$2),"■","")</x:f>
      </x:c>
      <x:c r="AC26" s="42" t="str">
        <x:f>IF(AND('План'!$C25&lt;=AC$2+6,'План'!$D25&gt;=AC$2),"■","")</x:f>
      </x:c>
      <x:c r="AD26" s="42" t="str">
        <x:f>IF(AND('План'!$C25&lt;=AD$2+6,'План'!$D25&gt;=AD$2),"■","")</x:f>
      </x:c>
      <x:c r="AE26" s="42" t="str">
        <x:f>IF(AND('План'!$C25&lt;=AE$2+6,'План'!$D25&gt;=AE$2),"■","")</x:f>
      </x:c>
      <x:c r="AF26" s="42" t="str">
        <x:f>IF(AND('План'!$C25&lt;=AF$2+6,'План'!$D25&gt;=AF$2),"■","")</x:f>
      </x:c>
      <x:c r="AG26" s="42" t="str">
        <x:f>IF(AND('План'!$C25&lt;=AG$2+6,'План'!$D25&gt;=AG$2),"■","")</x:f>
      </x:c>
      <x:c r="AH26" s="42" t="str">
        <x:f>IF(AND('План'!$C25&lt;=AH$2+6,'План'!$D25&gt;=AH$2),"■","")</x:f>
        <x:v>■</x:v>
      </x:c>
      <x:c r="AI26" s="42" t="str">
        <x:f>IF(AND('План'!$C25&lt;=AI$2+6,'План'!$D25&gt;=AI$2),"■","")</x:f>
        <x:v>■</x:v>
      </x:c>
      <x:c r="AJ26" s="42" t="str">
        <x:f>IF(AND('План'!$C25&lt;=AJ$2+6,'План'!$D25&gt;=AJ$2),"■","")</x:f>
      </x:c>
      <x:c r="AK26" s="42" t="str">
        <x:f>IF(AND('План'!$C25&lt;=AK$2+6,'План'!$D25&gt;=AK$2),"■","")</x:f>
      </x:c>
      <x:c r="AL26" s="42" t="str">
        <x:f>IF(AND('План'!$C25&lt;=AL$2+6,'План'!$D25&gt;=AL$2),"■","")</x:f>
      </x:c>
      <x:c r="AM26" s="42" t="str">
        <x:f>IF(AND('План'!$C25&lt;=AM$2+6,'План'!$D25&gt;=AM$2),"■","")</x:f>
      </x:c>
      <x:c r="AN26" s="42" t="str">
        <x:f>IF(AND('План'!$C25&lt;=AN$2+6,'План'!$D25&gt;=AN$2),"■","")</x:f>
      </x:c>
    </x:row>
    <x:row r="27" ht="22" customHeight="1">
      <x:c r="A27" t="str">
        <x:f>'План'!A26</x:f>
        <x:v>5.1.1</x:v>
      </x:c>
      <x:c r="B27" t="str">
        <x:f>'План'!B26</x:f>
        <x:v>Сценарии ручной проверки</x:v>
      </x:c>
      <x:c r="C27" t="str">
        <x:f>'План'!F26</x:f>
        <x:v>МК</x:v>
      </x:c>
      <x:c r="D27" s="2" t="n">
        <x:f>'План'!C26</x:f>
        <x:v>46489</x:v>
      </x:c>
      <x:c r="E27" s="2" t="n">
        <x:f>'План'!D26</x:f>
        <x:v>46507</x:v>
      </x:c>
      <x:c r="F27" s="42" t="str">
        <x:f>IF(AND('План'!$C26&lt;=F$2+6,'План'!$D26&gt;=F$2),"■","")</x:f>
      </x:c>
      <x:c r="G27" s="42" t="str">
        <x:f>IF(AND('План'!$C26&lt;=G$2+6,'План'!$D26&gt;=G$2),"■","")</x:f>
      </x:c>
      <x:c r="H27" s="42" t="str">
        <x:f>IF(AND('План'!$C26&lt;=H$2+6,'План'!$D26&gt;=H$2),"■","")</x:f>
      </x:c>
      <x:c r="I27" s="42" t="str">
        <x:f>IF(AND('План'!$C26&lt;=I$2+6,'План'!$D26&gt;=I$2),"■","")</x:f>
      </x:c>
      <x:c r="J27" s="42" t="str">
        <x:f>IF(AND('План'!$C26&lt;=J$2+6,'План'!$D26&gt;=J$2),"■","")</x:f>
      </x:c>
      <x:c r="K27" s="42" t="str">
        <x:f>IF(AND('План'!$C26&lt;=K$2+6,'План'!$D26&gt;=K$2),"■","")</x:f>
      </x:c>
      <x:c r="L27" s="42" t="str">
        <x:f>IF(AND('План'!$C26&lt;=L$2+6,'План'!$D26&gt;=L$2),"■","")</x:f>
      </x:c>
      <x:c r="M27" s="42" t="str">
        <x:f>IF(AND('План'!$C26&lt;=M$2+6,'План'!$D26&gt;=M$2),"■","")</x:f>
      </x:c>
      <x:c r="N27" s="42" t="str">
        <x:f>IF(AND('План'!$C26&lt;=N$2+6,'План'!$D26&gt;=N$2),"■","")</x:f>
      </x:c>
      <x:c r="O27" s="42" t="str">
        <x:f>IF(AND('План'!$C26&lt;=O$2+6,'План'!$D26&gt;=O$2),"■","")</x:f>
      </x:c>
      <x:c r="P27" s="42" t="str">
        <x:f>IF(AND('План'!$C26&lt;=P$2+6,'План'!$D26&gt;=P$2),"■","")</x:f>
      </x:c>
      <x:c r="Q27" s="42" t="str">
        <x:f>IF(AND('План'!$C26&lt;=Q$2+6,'План'!$D26&gt;=Q$2),"■","")</x:f>
      </x:c>
      <x:c r="R27" s="42" t="str">
        <x:f>IF(AND('План'!$C26&lt;=R$2+6,'План'!$D26&gt;=R$2),"■","")</x:f>
      </x:c>
      <x:c r="S27" s="42" t="str">
        <x:f>IF(AND('План'!$C26&lt;=S$2+6,'План'!$D26&gt;=S$2),"■","")</x:f>
      </x:c>
      <x:c r="T27" s="42" t="str">
        <x:f>IF(AND('План'!$C26&lt;=T$2+6,'План'!$D26&gt;=T$2),"■","")</x:f>
      </x:c>
      <x:c r="U27" s="42" t="str">
        <x:f>IF(AND('План'!$C26&lt;=U$2+6,'План'!$D26&gt;=U$2),"■","")</x:f>
      </x:c>
      <x:c r="V27" s="42" t="str">
        <x:f>IF(AND('План'!$C26&lt;=V$2+6,'План'!$D26&gt;=V$2),"■","")</x:f>
      </x:c>
      <x:c r="W27" s="42" t="str">
        <x:f>IF(AND('План'!$C26&lt;=W$2+6,'План'!$D26&gt;=W$2),"■","")</x:f>
      </x:c>
      <x:c r="X27" s="42" t="str">
        <x:f>IF(AND('План'!$C26&lt;=X$2+6,'План'!$D26&gt;=X$2),"■","")</x:f>
      </x:c>
      <x:c r="Y27" s="42" t="str">
        <x:f>IF(AND('План'!$C26&lt;=Y$2+6,'План'!$D26&gt;=Y$2),"■","")</x:f>
      </x:c>
      <x:c r="Z27" s="42" t="str">
        <x:f>IF(AND('План'!$C26&lt;=Z$2+6,'План'!$D26&gt;=Z$2),"■","")</x:f>
      </x:c>
      <x:c r="AA27" s="42" t="str">
        <x:f>IF(AND('План'!$C26&lt;=AA$2+6,'План'!$D26&gt;=AA$2),"■","")</x:f>
      </x:c>
      <x:c r="AB27" s="42" t="str">
        <x:f>IF(AND('План'!$C26&lt;=AB$2+6,'План'!$D26&gt;=AB$2),"■","")</x:f>
      </x:c>
      <x:c r="AC27" s="42" t="str">
        <x:f>IF(AND('План'!$C26&lt;=AC$2+6,'План'!$D26&gt;=AC$2),"■","")</x:f>
        <x:v>■</x:v>
      </x:c>
      <x:c r="AD27" s="42" t="str">
        <x:f>IF(AND('План'!$C26&lt;=AD$2+6,'План'!$D26&gt;=AD$2),"■","")</x:f>
        <x:v>■</x:v>
      </x:c>
      <x:c r="AE27" s="42" t="str">
        <x:f>IF(AND('План'!$C26&lt;=AE$2+6,'План'!$D26&gt;=AE$2),"■","")</x:f>
        <x:v>■</x:v>
      </x:c>
      <x:c r="AF27" s="42" t="str">
        <x:f>IF(AND('План'!$C26&lt;=AF$2+6,'План'!$D26&gt;=AF$2),"■","")</x:f>
      </x:c>
      <x:c r="AG27" s="42" t="str">
        <x:f>IF(AND('План'!$C26&lt;=AG$2+6,'План'!$D26&gt;=AG$2),"■","")</x:f>
      </x:c>
      <x:c r="AH27" s="42" t="str">
        <x:f>IF(AND('План'!$C26&lt;=AH$2+6,'План'!$D26&gt;=AH$2),"■","")</x:f>
      </x:c>
      <x:c r="AI27" s="42" t="str">
        <x:f>IF(AND('План'!$C26&lt;=AI$2+6,'План'!$D26&gt;=AI$2),"■","")</x:f>
      </x:c>
      <x:c r="AJ27" s="42" t="str">
        <x:f>IF(AND('План'!$C26&lt;=AJ$2+6,'План'!$D26&gt;=AJ$2),"■","")</x:f>
      </x:c>
      <x:c r="AK27" s="42" t="str">
        <x:f>IF(AND('План'!$C26&lt;=AK$2+6,'План'!$D26&gt;=AK$2),"■","")</x:f>
      </x:c>
      <x:c r="AL27" s="42" t="str">
        <x:f>IF(AND('План'!$C26&lt;=AL$2+6,'План'!$D26&gt;=AL$2),"■","")</x:f>
      </x:c>
      <x:c r="AM27" s="42" t="str">
        <x:f>IF(AND('План'!$C26&lt;=AM$2+6,'План'!$D26&gt;=AM$2),"■","")</x:f>
      </x:c>
      <x:c r="AN27" s="42" t="str">
        <x:f>IF(AND('План'!$C26&lt;=AN$2+6,'План'!$D26&gt;=AN$2),"■","")</x:f>
      </x:c>
    </x:row>
    <x:row r="28" ht="22" customHeight="1">
      <x:c r="A28" t="str">
        <x:f>'План'!A27</x:f>
        <x:v>5.1.2</x:v>
      </x:c>
      <x:c r="B28" t="str">
        <x:f>'План'!B27</x:f>
        <x:v>Ручная приёмка и пилотная проверка</x:v>
      </x:c>
      <x:c r="C28" t="str">
        <x:f>'План'!F27</x:f>
        <x:v>РП</x:v>
      </x:c>
      <x:c r="D28" s="2" t="n">
        <x:f>'План'!C27</x:f>
        <x:v>46538</x:v>
      </x:c>
      <x:c r="E28" s="2" t="n">
        <x:f>'План'!D27</x:f>
        <x:v>46549</x:v>
      </x:c>
      <x:c r="F28" s="42" t="str">
        <x:f>IF(AND('План'!$C27&lt;=F$2+6,'План'!$D27&gt;=F$2),"■","")</x:f>
      </x:c>
      <x:c r="G28" s="42" t="str">
        <x:f>IF(AND('План'!$C27&lt;=G$2+6,'План'!$D27&gt;=G$2),"■","")</x:f>
      </x:c>
      <x:c r="H28" s="42" t="str">
        <x:f>IF(AND('План'!$C27&lt;=H$2+6,'План'!$D27&gt;=H$2),"■","")</x:f>
      </x:c>
      <x:c r="I28" s="42" t="str">
        <x:f>IF(AND('План'!$C27&lt;=I$2+6,'План'!$D27&gt;=I$2),"■","")</x:f>
      </x:c>
      <x:c r="J28" s="42" t="str">
        <x:f>IF(AND('План'!$C27&lt;=J$2+6,'План'!$D27&gt;=J$2),"■","")</x:f>
      </x:c>
      <x:c r="K28" s="42" t="str">
        <x:f>IF(AND('План'!$C27&lt;=K$2+6,'План'!$D27&gt;=K$2),"■","")</x:f>
      </x:c>
      <x:c r="L28" s="42" t="str">
        <x:f>IF(AND('План'!$C27&lt;=L$2+6,'План'!$D27&gt;=L$2),"■","")</x:f>
      </x:c>
      <x:c r="M28" s="42" t="str">
        <x:f>IF(AND('План'!$C27&lt;=M$2+6,'План'!$D27&gt;=M$2),"■","")</x:f>
      </x:c>
      <x:c r="N28" s="42" t="str">
        <x:f>IF(AND('План'!$C27&lt;=N$2+6,'План'!$D27&gt;=N$2),"■","")</x:f>
      </x:c>
      <x:c r="O28" s="42" t="str">
        <x:f>IF(AND('План'!$C27&lt;=O$2+6,'План'!$D27&gt;=O$2),"■","")</x:f>
      </x:c>
      <x:c r="P28" s="42" t="str">
        <x:f>IF(AND('План'!$C27&lt;=P$2+6,'План'!$D27&gt;=P$2),"■","")</x:f>
      </x:c>
      <x:c r="Q28" s="42" t="str">
        <x:f>IF(AND('План'!$C27&lt;=Q$2+6,'План'!$D27&gt;=Q$2),"■","")</x:f>
      </x:c>
      <x:c r="R28" s="42" t="str">
        <x:f>IF(AND('План'!$C27&lt;=R$2+6,'План'!$D27&gt;=R$2),"■","")</x:f>
      </x:c>
      <x:c r="S28" s="42" t="str">
        <x:f>IF(AND('План'!$C27&lt;=S$2+6,'План'!$D27&gt;=S$2),"■","")</x:f>
      </x:c>
      <x:c r="T28" s="42" t="str">
        <x:f>IF(AND('План'!$C27&lt;=T$2+6,'План'!$D27&gt;=T$2),"■","")</x:f>
      </x:c>
      <x:c r="U28" s="42" t="str">
        <x:f>IF(AND('План'!$C27&lt;=U$2+6,'План'!$D27&gt;=U$2),"■","")</x:f>
      </x:c>
      <x:c r="V28" s="42" t="str">
        <x:f>IF(AND('План'!$C27&lt;=V$2+6,'План'!$D27&gt;=V$2),"■","")</x:f>
      </x:c>
      <x:c r="W28" s="42" t="str">
        <x:f>IF(AND('План'!$C27&lt;=W$2+6,'План'!$D27&gt;=W$2),"■","")</x:f>
      </x:c>
      <x:c r="X28" s="42" t="str">
        <x:f>IF(AND('План'!$C27&lt;=X$2+6,'План'!$D27&gt;=X$2),"■","")</x:f>
      </x:c>
      <x:c r="Y28" s="42" t="str">
        <x:f>IF(AND('План'!$C27&lt;=Y$2+6,'План'!$D27&gt;=Y$2),"■","")</x:f>
      </x:c>
      <x:c r="Z28" s="42" t="str">
        <x:f>IF(AND('План'!$C27&lt;=Z$2+6,'План'!$D27&gt;=Z$2),"■","")</x:f>
      </x:c>
      <x:c r="AA28" s="42" t="str">
        <x:f>IF(AND('План'!$C27&lt;=AA$2+6,'План'!$D27&gt;=AA$2),"■","")</x:f>
      </x:c>
      <x:c r="AB28" s="42" t="str">
        <x:f>IF(AND('План'!$C27&lt;=AB$2+6,'План'!$D27&gt;=AB$2),"■","")</x:f>
      </x:c>
      <x:c r="AC28" s="42" t="str">
        <x:f>IF(AND('План'!$C27&lt;=AC$2+6,'План'!$D27&gt;=AC$2),"■","")</x:f>
      </x:c>
      <x:c r="AD28" s="42" t="str">
        <x:f>IF(AND('План'!$C27&lt;=AD$2+6,'План'!$D27&gt;=AD$2),"■","")</x:f>
      </x:c>
      <x:c r="AE28" s="42" t="str">
        <x:f>IF(AND('План'!$C27&lt;=AE$2+6,'План'!$D27&gt;=AE$2),"■","")</x:f>
      </x:c>
      <x:c r="AF28" s="42" t="str">
        <x:f>IF(AND('План'!$C27&lt;=AF$2+6,'План'!$D27&gt;=AF$2),"■","")</x:f>
      </x:c>
      <x:c r="AG28" s="42" t="str">
        <x:f>IF(AND('План'!$C27&lt;=AG$2+6,'План'!$D27&gt;=AG$2),"■","")</x:f>
      </x:c>
      <x:c r="AH28" s="42" t="str">
        <x:f>IF(AND('План'!$C27&lt;=AH$2+6,'План'!$D27&gt;=AH$2),"■","")</x:f>
      </x:c>
      <x:c r="AI28" s="42" t="str">
        <x:f>IF(AND('План'!$C27&lt;=AI$2+6,'План'!$D27&gt;=AI$2),"■","")</x:f>
      </x:c>
      <x:c r="AJ28" s="42" t="str">
        <x:f>IF(AND('План'!$C27&lt;=AJ$2+6,'План'!$D27&gt;=AJ$2),"■","")</x:f>
        <x:v>■</x:v>
      </x:c>
      <x:c r="AK28" s="42" t="str">
        <x:f>IF(AND('План'!$C27&lt;=AK$2+6,'План'!$D27&gt;=AK$2),"■","")</x:f>
        <x:v>■</x:v>
      </x:c>
      <x:c r="AL28" s="42" t="str">
        <x:f>IF(AND('План'!$C27&lt;=AL$2+6,'План'!$D27&gt;=AL$2),"■","")</x:f>
      </x:c>
      <x:c r="AM28" s="42" t="str">
        <x:f>IF(AND('План'!$C27&lt;=AM$2+6,'План'!$D27&gt;=AM$2),"■","")</x:f>
      </x:c>
      <x:c r="AN28" s="42" t="str">
        <x:f>IF(AND('План'!$C27&lt;=AN$2+6,'План'!$D27&gt;=AN$2),"■","")</x:f>
      </x:c>
    </x:row>
    <x:row r="29" ht="22" customHeight="1">
      <x:c r="A29" t="str">
        <x:f>'План'!A28</x:f>
        <x:v>5.1.3</x:v>
      </x:c>
      <x:c r="B29" t="str">
        <x:f>'План'!B28</x:f>
        <x:v>Устойчивость и производительность</x:v>
      </x:c>
      <x:c r="C29" t="str">
        <x:f>'План'!F28</x:f>
        <x:v>АР</x:v>
      </x:c>
      <x:c r="D29" s="2" t="n">
        <x:f>'План'!C28</x:f>
        <x:v>46531</x:v>
      </x:c>
      <x:c r="E29" s="2" t="n">
        <x:f>'План'!D28</x:f>
        <x:v>46549</x:v>
      </x:c>
      <x:c r="F29" s="42" t="str">
        <x:f>IF(AND('План'!$C28&lt;=F$2+6,'План'!$D28&gt;=F$2),"■","")</x:f>
      </x:c>
      <x:c r="G29" s="42" t="str">
        <x:f>IF(AND('План'!$C28&lt;=G$2+6,'План'!$D28&gt;=G$2),"■","")</x:f>
      </x:c>
      <x:c r="H29" s="42" t="str">
        <x:f>IF(AND('План'!$C28&lt;=H$2+6,'План'!$D28&gt;=H$2),"■","")</x:f>
      </x:c>
      <x:c r="I29" s="42" t="str">
        <x:f>IF(AND('План'!$C28&lt;=I$2+6,'План'!$D28&gt;=I$2),"■","")</x:f>
      </x:c>
      <x:c r="J29" s="42" t="str">
        <x:f>IF(AND('План'!$C28&lt;=J$2+6,'План'!$D28&gt;=J$2),"■","")</x:f>
      </x:c>
      <x:c r="K29" s="42" t="str">
        <x:f>IF(AND('План'!$C28&lt;=K$2+6,'План'!$D28&gt;=K$2),"■","")</x:f>
      </x:c>
      <x:c r="L29" s="42" t="str">
        <x:f>IF(AND('План'!$C28&lt;=L$2+6,'План'!$D28&gt;=L$2),"■","")</x:f>
      </x:c>
      <x:c r="M29" s="42" t="str">
        <x:f>IF(AND('План'!$C28&lt;=M$2+6,'План'!$D28&gt;=M$2),"■","")</x:f>
      </x:c>
      <x:c r="N29" s="42" t="str">
        <x:f>IF(AND('План'!$C28&lt;=N$2+6,'План'!$D28&gt;=N$2),"■","")</x:f>
      </x:c>
      <x:c r="O29" s="42" t="str">
        <x:f>IF(AND('План'!$C28&lt;=O$2+6,'План'!$D28&gt;=O$2),"■","")</x:f>
      </x:c>
      <x:c r="P29" s="42" t="str">
        <x:f>IF(AND('План'!$C28&lt;=P$2+6,'План'!$D28&gt;=P$2),"■","")</x:f>
      </x:c>
      <x:c r="Q29" s="42" t="str">
        <x:f>IF(AND('План'!$C28&lt;=Q$2+6,'План'!$D28&gt;=Q$2),"■","")</x:f>
      </x:c>
      <x:c r="R29" s="42" t="str">
        <x:f>IF(AND('План'!$C28&lt;=R$2+6,'План'!$D28&gt;=R$2),"■","")</x:f>
      </x:c>
      <x:c r="S29" s="42" t="str">
        <x:f>IF(AND('План'!$C28&lt;=S$2+6,'План'!$D28&gt;=S$2),"■","")</x:f>
      </x:c>
      <x:c r="T29" s="42" t="str">
        <x:f>IF(AND('План'!$C28&lt;=T$2+6,'План'!$D28&gt;=T$2),"■","")</x:f>
      </x:c>
      <x:c r="U29" s="42" t="str">
        <x:f>IF(AND('План'!$C28&lt;=U$2+6,'План'!$D28&gt;=U$2),"■","")</x:f>
      </x:c>
      <x:c r="V29" s="42" t="str">
        <x:f>IF(AND('План'!$C28&lt;=V$2+6,'План'!$D28&gt;=V$2),"■","")</x:f>
      </x:c>
      <x:c r="W29" s="42" t="str">
        <x:f>IF(AND('План'!$C28&lt;=W$2+6,'План'!$D28&gt;=W$2),"■","")</x:f>
      </x:c>
      <x:c r="X29" s="42" t="str">
        <x:f>IF(AND('План'!$C28&lt;=X$2+6,'План'!$D28&gt;=X$2),"■","")</x:f>
      </x:c>
      <x:c r="Y29" s="42" t="str">
        <x:f>IF(AND('План'!$C28&lt;=Y$2+6,'План'!$D28&gt;=Y$2),"■","")</x:f>
      </x:c>
      <x:c r="Z29" s="42" t="str">
        <x:f>IF(AND('План'!$C28&lt;=Z$2+6,'План'!$D28&gt;=Z$2),"■","")</x:f>
      </x:c>
      <x:c r="AA29" s="42" t="str">
        <x:f>IF(AND('План'!$C28&lt;=AA$2+6,'План'!$D28&gt;=AA$2),"■","")</x:f>
      </x:c>
      <x:c r="AB29" s="42" t="str">
        <x:f>IF(AND('План'!$C28&lt;=AB$2+6,'План'!$D28&gt;=AB$2),"■","")</x:f>
      </x:c>
      <x:c r="AC29" s="42" t="str">
        <x:f>IF(AND('План'!$C28&lt;=AC$2+6,'План'!$D28&gt;=AC$2),"■","")</x:f>
      </x:c>
      <x:c r="AD29" s="42" t="str">
        <x:f>IF(AND('План'!$C28&lt;=AD$2+6,'План'!$D28&gt;=AD$2),"■","")</x:f>
      </x:c>
      <x:c r="AE29" s="42" t="str">
        <x:f>IF(AND('План'!$C28&lt;=AE$2+6,'План'!$D28&gt;=AE$2),"■","")</x:f>
      </x:c>
      <x:c r="AF29" s="42" t="str">
        <x:f>IF(AND('План'!$C28&lt;=AF$2+6,'План'!$D28&gt;=AF$2),"■","")</x:f>
      </x:c>
      <x:c r="AG29" s="42" t="str">
        <x:f>IF(AND('План'!$C28&lt;=AG$2+6,'План'!$D28&gt;=AG$2),"■","")</x:f>
      </x:c>
      <x:c r="AH29" s="42" t="str">
        <x:f>IF(AND('План'!$C28&lt;=AH$2+6,'План'!$D28&gt;=AH$2),"■","")</x:f>
      </x:c>
      <x:c r="AI29" s="42" t="str">
        <x:f>IF(AND('План'!$C28&lt;=AI$2+6,'План'!$D28&gt;=AI$2),"■","")</x:f>
        <x:v>■</x:v>
      </x:c>
      <x:c r="AJ29" s="42" t="str">
        <x:f>IF(AND('План'!$C28&lt;=AJ$2+6,'План'!$D28&gt;=AJ$2),"■","")</x:f>
        <x:v>■</x:v>
      </x:c>
      <x:c r="AK29" s="42" t="str">
        <x:f>IF(AND('План'!$C28&lt;=AK$2+6,'План'!$D28&gt;=AK$2),"■","")</x:f>
        <x:v>■</x:v>
      </x:c>
      <x:c r="AL29" s="42" t="str">
        <x:f>IF(AND('План'!$C28&lt;=AL$2+6,'План'!$D28&gt;=AL$2),"■","")</x:f>
      </x:c>
      <x:c r="AM29" s="42" t="str">
        <x:f>IF(AND('План'!$C28&lt;=AM$2+6,'План'!$D28&gt;=AM$2),"■","")</x:f>
      </x:c>
      <x:c r="AN29" s="42" t="str">
        <x:f>IF(AND('План'!$C28&lt;=AN$2+6,'План'!$D28&gt;=AN$2),"■","")</x:f>
      </x:c>
    </x:row>
    <x:row r="30" ht="22" customHeight="1">
      <x:c r="A30" t="str">
        <x:f>'План'!A29</x:f>
        <x:v>5.2.1</x:v>
      </x:c>
      <x:c r="B30" t="str">
        <x:f>'План'!B29</x:f>
        <x:v>Кандидат выпуска</x:v>
      </x:c>
      <x:c r="C30" t="str">
        <x:f>'План'!F29</x:f>
        <x:v>АР</x:v>
      </x:c>
      <x:c r="D30" s="2" t="n">
        <x:f>'План'!C29</x:f>
        <x:v>46552</x:v>
      </x:c>
      <x:c r="E30" s="2" t="n">
        <x:f>'План'!D29</x:f>
        <x:v>46556</x:v>
      </x:c>
      <x:c r="F30" s="42" t="str">
        <x:f>IF(AND('План'!$C29&lt;=F$2+6,'План'!$D29&gt;=F$2),"■","")</x:f>
      </x:c>
      <x:c r="G30" s="42" t="str">
        <x:f>IF(AND('План'!$C29&lt;=G$2+6,'План'!$D29&gt;=G$2),"■","")</x:f>
      </x:c>
      <x:c r="H30" s="42" t="str">
        <x:f>IF(AND('План'!$C29&lt;=H$2+6,'План'!$D29&gt;=H$2),"■","")</x:f>
      </x:c>
      <x:c r="I30" s="42" t="str">
        <x:f>IF(AND('План'!$C29&lt;=I$2+6,'План'!$D29&gt;=I$2),"■","")</x:f>
      </x:c>
      <x:c r="J30" s="42" t="str">
        <x:f>IF(AND('План'!$C29&lt;=J$2+6,'План'!$D29&gt;=J$2),"■","")</x:f>
      </x:c>
      <x:c r="K30" s="42" t="str">
        <x:f>IF(AND('План'!$C29&lt;=K$2+6,'План'!$D29&gt;=K$2),"■","")</x:f>
      </x:c>
      <x:c r="L30" s="42" t="str">
        <x:f>IF(AND('План'!$C29&lt;=L$2+6,'План'!$D29&gt;=L$2),"■","")</x:f>
      </x:c>
      <x:c r="M30" s="42" t="str">
        <x:f>IF(AND('План'!$C29&lt;=M$2+6,'План'!$D29&gt;=M$2),"■","")</x:f>
      </x:c>
      <x:c r="N30" s="42" t="str">
        <x:f>IF(AND('План'!$C29&lt;=N$2+6,'План'!$D29&gt;=N$2),"■","")</x:f>
      </x:c>
      <x:c r="O30" s="42" t="str">
        <x:f>IF(AND('План'!$C29&lt;=O$2+6,'План'!$D29&gt;=O$2),"■","")</x:f>
      </x:c>
      <x:c r="P30" s="42" t="str">
        <x:f>IF(AND('План'!$C29&lt;=P$2+6,'План'!$D29&gt;=P$2),"■","")</x:f>
      </x:c>
      <x:c r="Q30" s="42" t="str">
        <x:f>IF(AND('План'!$C29&lt;=Q$2+6,'План'!$D29&gt;=Q$2),"■","")</x:f>
      </x:c>
      <x:c r="R30" s="42" t="str">
        <x:f>IF(AND('План'!$C29&lt;=R$2+6,'План'!$D29&gt;=R$2),"■","")</x:f>
      </x:c>
      <x:c r="S30" s="42" t="str">
        <x:f>IF(AND('План'!$C29&lt;=S$2+6,'План'!$D29&gt;=S$2),"■","")</x:f>
      </x:c>
      <x:c r="T30" s="42" t="str">
        <x:f>IF(AND('План'!$C29&lt;=T$2+6,'План'!$D29&gt;=T$2),"■","")</x:f>
      </x:c>
      <x:c r="U30" s="42" t="str">
        <x:f>IF(AND('План'!$C29&lt;=U$2+6,'План'!$D29&gt;=U$2),"■","")</x:f>
      </x:c>
      <x:c r="V30" s="42" t="str">
        <x:f>IF(AND('План'!$C29&lt;=V$2+6,'План'!$D29&gt;=V$2),"■","")</x:f>
      </x:c>
      <x:c r="W30" s="42" t="str">
        <x:f>IF(AND('План'!$C29&lt;=W$2+6,'План'!$D29&gt;=W$2),"■","")</x:f>
      </x:c>
      <x:c r="X30" s="42" t="str">
        <x:f>IF(AND('План'!$C29&lt;=X$2+6,'План'!$D29&gt;=X$2),"■","")</x:f>
      </x:c>
      <x:c r="Y30" s="42" t="str">
        <x:f>IF(AND('План'!$C29&lt;=Y$2+6,'План'!$D29&gt;=Y$2),"■","")</x:f>
      </x:c>
      <x:c r="Z30" s="42" t="str">
        <x:f>IF(AND('План'!$C29&lt;=Z$2+6,'План'!$D29&gt;=Z$2),"■","")</x:f>
      </x:c>
      <x:c r="AA30" s="42" t="str">
        <x:f>IF(AND('План'!$C29&lt;=AA$2+6,'План'!$D29&gt;=AA$2),"■","")</x:f>
      </x:c>
      <x:c r="AB30" s="42" t="str">
        <x:f>IF(AND('План'!$C29&lt;=AB$2+6,'План'!$D29&gt;=AB$2),"■","")</x:f>
      </x:c>
      <x:c r="AC30" s="42" t="str">
        <x:f>IF(AND('План'!$C29&lt;=AC$2+6,'План'!$D29&gt;=AC$2),"■","")</x:f>
      </x:c>
      <x:c r="AD30" s="42" t="str">
        <x:f>IF(AND('План'!$C29&lt;=AD$2+6,'План'!$D29&gt;=AD$2),"■","")</x:f>
      </x:c>
      <x:c r="AE30" s="42" t="str">
        <x:f>IF(AND('План'!$C29&lt;=AE$2+6,'План'!$D29&gt;=AE$2),"■","")</x:f>
      </x:c>
      <x:c r="AF30" s="42" t="str">
        <x:f>IF(AND('План'!$C29&lt;=AF$2+6,'План'!$D29&gt;=AF$2),"■","")</x:f>
      </x:c>
      <x:c r="AG30" s="42" t="str">
        <x:f>IF(AND('План'!$C29&lt;=AG$2+6,'План'!$D29&gt;=AG$2),"■","")</x:f>
      </x:c>
      <x:c r="AH30" s="42" t="str">
        <x:f>IF(AND('План'!$C29&lt;=AH$2+6,'План'!$D29&gt;=AH$2),"■","")</x:f>
      </x:c>
      <x:c r="AI30" s="42" t="str">
        <x:f>IF(AND('План'!$C29&lt;=AI$2+6,'План'!$D29&gt;=AI$2),"■","")</x:f>
      </x:c>
      <x:c r="AJ30" s="42" t="str">
        <x:f>IF(AND('План'!$C29&lt;=AJ$2+6,'План'!$D29&gt;=AJ$2),"■","")</x:f>
      </x:c>
      <x:c r="AK30" s="42" t="str">
        <x:f>IF(AND('План'!$C29&lt;=AK$2+6,'План'!$D29&gt;=AK$2),"■","")</x:f>
      </x:c>
      <x:c r="AL30" s="42" t="str">
        <x:f>IF(AND('План'!$C29&lt;=AL$2+6,'План'!$D29&gt;=AL$2),"■","")</x:f>
        <x:v>■</x:v>
      </x:c>
      <x:c r="AM30" s="42" t="str">
        <x:f>IF(AND('План'!$C29&lt;=AM$2+6,'План'!$D29&gt;=AM$2),"■","")</x:f>
      </x:c>
      <x:c r="AN30" s="42" t="str">
        <x:f>IF(AND('План'!$C29&lt;=AN$2+6,'План'!$D29&gt;=AN$2),"■","")</x:f>
      </x:c>
    </x:row>
    <x:row r="31" ht="22" customHeight="1">
      <x:c r="A31" t="str">
        <x:f>'План'!A30</x:f>
        <x:v>5.2.2</x:v>
      </x:c>
      <x:c r="B31" t="str">
        <x:f>'План'!B30</x:f>
        <x:v>Руководство пользователя</x:v>
      </x:c>
      <x:c r="C31" t="str">
        <x:f>'План'!F30</x:f>
        <x:v>UX</x:v>
      </x:c>
      <x:c r="D31" s="2" t="n">
        <x:f>'План'!C30</x:f>
        <x:v>46538</x:v>
      </x:c>
      <x:c r="E31" s="2" t="n">
        <x:f>'План'!D30</x:f>
        <x:v>46556</x:v>
      </x:c>
      <x:c r="F31" s="42" t="str">
        <x:f>IF(AND('План'!$C30&lt;=F$2+6,'План'!$D30&gt;=F$2),"■","")</x:f>
      </x:c>
      <x:c r="G31" s="42" t="str">
        <x:f>IF(AND('План'!$C30&lt;=G$2+6,'План'!$D30&gt;=G$2),"■","")</x:f>
      </x:c>
      <x:c r="H31" s="42" t="str">
        <x:f>IF(AND('План'!$C30&lt;=H$2+6,'План'!$D30&gt;=H$2),"■","")</x:f>
      </x:c>
      <x:c r="I31" s="42" t="str">
        <x:f>IF(AND('План'!$C30&lt;=I$2+6,'План'!$D30&gt;=I$2),"■","")</x:f>
      </x:c>
      <x:c r="J31" s="42" t="str">
        <x:f>IF(AND('План'!$C30&lt;=J$2+6,'План'!$D30&gt;=J$2),"■","")</x:f>
      </x:c>
      <x:c r="K31" s="42" t="str">
        <x:f>IF(AND('План'!$C30&lt;=K$2+6,'План'!$D30&gt;=K$2),"■","")</x:f>
      </x:c>
      <x:c r="L31" s="42" t="str">
        <x:f>IF(AND('План'!$C30&lt;=L$2+6,'План'!$D30&gt;=L$2),"■","")</x:f>
      </x:c>
      <x:c r="M31" s="42" t="str">
        <x:f>IF(AND('План'!$C30&lt;=M$2+6,'План'!$D30&gt;=M$2),"■","")</x:f>
      </x:c>
      <x:c r="N31" s="42" t="str">
        <x:f>IF(AND('План'!$C30&lt;=N$2+6,'План'!$D30&gt;=N$2),"■","")</x:f>
      </x:c>
      <x:c r="O31" s="42" t="str">
        <x:f>IF(AND('План'!$C30&lt;=O$2+6,'План'!$D30&gt;=O$2),"■","")</x:f>
      </x:c>
      <x:c r="P31" s="42" t="str">
        <x:f>IF(AND('План'!$C30&lt;=P$2+6,'План'!$D30&gt;=P$2),"■","")</x:f>
      </x:c>
      <x:c r="Q31" s="42" t="str">
        <x:f>IF(AND('План'!$C30&lt;=Q$2+6,'План'!$D30&gt;=Q$2),"■","")</x:f>
      </x:c>
      <x:c r="R31" s="42" t="str">
        <x:f>IF(AND('План'!$C30&lt;=R$2+6,'План'!$D30&gt;=R$2),"■","")</x:f>
      </x:c>
      <x:c r="S31" s="42" t="str">
        <x:f>IF(AND('План'!$C30&lt;=S$2+6,'План'!$D30&gt;=S$2),"■","")</x:f>
      </x:c>
      <x:c r="T31" s="42" t="str">
        <x:f>IF(AND('План'!$C30&lt;=T$2+6,'План'!$D30&gt;=T$2),"■","")</x:f>
      </x:c>
      <x:c r="U31" s="42" t="str">
        <x:f>IF(AND('План'!$C30&lt;=U$2+6,'План'!$D30&gt;=U$2),"■","")</x:f>
      </x:c>
      <x:c r="V31" s="42" t="str">
        <x:f>IF(AND('План'!$C30&lt;=V$2+6,'План'!$D30&gt;=V$2),"■","")</x:f>
      </x:c>
      <x:c r="W31" s="42" t="str">
        <x:f>IF(AND('План'!$C30&lt;=W$2+6,'План'!$D30&gt;=W$2),"■","")</x:f>
      </x:c>
      <x:c r="X31" s="42" t="str">
        <x:f>IF(AND('План'!$C30&lt;=X$2+6,'План'!$D30&gt;=X$2),"■","")</x:f>
      </x:c>
      <x:c r="Y31" s="42" t="str">
        <x:f>IF(AND('План'!$C30&lt;=Y$2+6,'План'!$D30&gt;=Y$2),"■","")</x:f>
      </x:c>
      <x:c r="Z31" s="42" t="str">
        <x:f>IF(AND('План'!$C30&lt;=Z$2+6,'План'!$D30&gt;=Z$2),"■","")</x:f>
      </x:c>
      <x:c r="AA31" s="42" t="str">
        <x:f>IF(AND('План'!$C30&lt;=AA$2+6,'План'!$D30&gt;=AA$2),"■","")</x:f>
      </x:c>
      <x:c r="AB31" s="42" t="str">
        <x:f>IF(AND('План'!$C30&lt;=AB$2+6,'План'!$D30&gt;=AB$2),"■","")</x:f>
      </x:c>
      <x:c r="AC31" s="42" t="str">
        <x:f>IF(AND('План'!$C30&lt;=AC$2+6,'План'!$D30&gt;=AC$2),"■","")</x:f>
      </x:c>
      <x:c r="AD31" s="42" t="str">
        <x:f>IF(AND('План'!$C30&lt;=AD$2+6,'План'!$D30&gt;=AD$2),"■","")</x:f>
      </x:c>
      <x:c r="AE31" s="42" t="str">
        <x:f>IF(AND('План'!$C30&lt;=AE$2+6,'План'!$D30&gt;=AE$2),"■","")</x:f>
      </x:c>
      <x:c r="AF31" s="42" t="str">
        <x:f>IF(AND('План'!$C30&lt;=AF$2+6,'План'!$D30&gt;=AF$2),"■","")</x:f>
      </x:c>
      <x:c r="AG31" s="42" t="str">
        <x:f>IF(AND('План'!$C30&lt;=AG$2+6,'План'!$D30&gt;=AG$2),"■","")</x:f>
      </x:c>
      <x:c r="AH31" s="42" t="str">
        <x:f>IF(AND('План'!$C30&lt;=AH$2+6,'План'!$D30&gt;=AH$2),"■","")</x:f>
      </x:c>
      <x:c r="AI31" s="42" t="str">
        <x:f>IF(AND('План'!$C30&lt;=AI$2+6,'План'!$D30&gt;=AI$2),"■","")</x:f>
      </x:c>
      <x:c r="AJ31" s="42" t="str">
        <x:f>IF(AND('План'!$C30&lt;=AJ$2+6,'План'!$D30&gt;=AJ$2),"■","")</x:f>
        <x:v>■</x:v>
      </x:c>
      <x:c r="AK31" s="42" t="str">
        <x:f>IF(AND('План'!$C30&lt;=AK$2+6,'План'!$D30&gt;=AK$2),"■","")</x:f>
        <x:v>■</x:v>
      </x:c>
      <x:c r="AL31" s="42" t="str">
        <x:f>IF(AND('План'!$C30&lt;=AL$2+6,'План'!$D30&gt;=AL$2),"■","")</x:f>
        <x:v>■</x:v>
      </x:c>
      <x:c r="AM31" s="42" t="str">
        <x:f>IF(AND('План'!$C30&lt;=AM$2+6,'План'!$D30&gt;=AM$2),"■","")</x:f>
      </x:c>
      <x:c r="AN31" s="42" t="str">
        <x:f>IF(AND('План'!$C30&lt;=AN$2+6,'План'!$D30&gt;=AN$2),"■","")</x:f>
      </x:c>
    </x:row>
    <x:row r="32" ht="22" customHeight="1">
      <x:c r="A32" t="str">
        <x:f>'План'!A31</x:f>
        <x:v>6.1.1</x:v>
      </x:c>
      <x:c r="B32" t="str">
        <x:f>'План'!B31</x:f>
        <x:v>Ценностное предложение и аудитории</x:v>
      </x:c>
      <x:c r="C32" t="str">
        <x:f>'План'!F31</x:f>
        <x:v>МК</x:v>
      </x:c>
      <x:c r="D32" s="2" t="n">
        <x:f>'План'!C31</x:f>
        <x:v>46363</x:v>
      </x:c>
      <x:c r="E32" s="2" t="n">
        <x:f>'План'!D31</x:f>
        <x:v>46402</x:v>
      </x:c>
      <x:c r="F32" s="42" t="str">
        <x:f>IF(AND('План'!$C31&lt;=F$2+6,'План'!$D31&gt;=F$2),"■","")</x:f>
      </x:c>
      <x:c r="G32" s="42" t="str">
        <x:f>IF(AND('План'!$C31&lt;=G$2+6,'План'!$D31&gt;=G$2),"■","")</x:f>
      </x:c>
      <x:c r="H32" s="42" t="str">
        <x:f>IF(AND('План'!$C31&lt;=H$2+6,'План'!$D31&gt;=H$2),"■","")</x:f>
      </x:c>
      <x:c r="I32" s="42" t="str">
        <x:f>IF(AND('План'!$C31&lt;=I$2+6,'План'!$D31&gt;=I$2),"■","")</x:f>
      </x:c>
      <x:c r="J32" s="42" t="str">
        <x:f>IF(AND('План'!$C31&lt;=J$2+6,'План'!$D31&gt;=J$2),"■","")</x:f>
      </x:c>
      <x:c r="K32" s="42" t="str">
        <x:f>IF(AND('План'!$C31&lt;=K$2+6,'План'!$D31&gt;=K$2),"■","")</x:f>
        <x:v>■</x:v>
      </x:c>
      <x:c r="L32" s="42" t="str">
        <x:f>IF(AND('План'!$C31&lt;=L$2+6,'План'!$D31&gt;=L$2),"■","")</x:f>
        <x:v>■</x:v>
      </x:c>
      <x:c r="M32" s="42" t="str">
        <x:f>IF(AND('План'!$C31&lt;=M$2+6,'План'!$D31&gt;=M$2),"■","")</x:f>
        <x:v>■</x:v>
      </x:c>
      <x:c r="N32" s="42" t="str">
        <x:f>IF(AND('План'!$C31&lt;=N$2+6,'План'!$D31&gt;=N$2),"■","")</x:f>
        <x:v>■</x:v>
      </x:c>
      <x:c r="O32" s="42" t="str">
        <x:f>IF(AND('План'!$C31&lt;=O$2+6,'План'!$D31&gt;=O$2),"■","")</x:f>
        <x:v>■</x:v>
      </x:c>
      <x:c r="P32" s="42" t="str">
        <x:f>IF(AND('План'!$C31&lt;=P$2+6,'План'!$D31&gt;=P$2),"■","")</x:f>
        <x:v>■</x:v>
      </x:c>
      <x:c r="Q32" s="42" t="str">
        <x:f>IF(AND('План'!$C31&lt;=Q$2+6,'План'!$D31&gt;=Q$2),"■","")</x:f>
      </x:c>
      <x:c r="R32" s="42" t="str">
        <x:f>IF(AND('План'!$C31&lt;=R$2+6,'План'!$D31&gt;=R$2),"■","")</x:f>
      </x:c>
      <x:c r="S32" s="42" t="str">
        <x:f>IF(AND('План'!$C31&lt;=S$2+6,'План'!$D31&gt;=S$2),"■","")</x:f>
      </x:c>
      <x:c r="T32" s="42" t="str">
        <x:f>IF(AND('План'!$C31&lt;=T$2+6,'План'!$D31&gt;=T$2),"■","")</x:f>
      </x:c>
      <x:c r="U32" s="42" t="str">
        <x:f>IF(AND('План'!$C31&lt;=U$2+6,'План'!$D31&gt;=U$2),"■","")</x:f>
      </x:c>
      <x:c r="V32" s="42" t="str">
        <x:f>IF(AND('План'!$C31&lt;=V$2+6,'План'!$D31&gt;=V$2),"■","")</x:f>
      </x:c>
      <x:c r="W32" s="42" t="str">
        <x:f>IF(AND('План'!$C31&lt;=W$2+6,'План'!$D31&gt;=W$2),"■","")</x:f>
      </x:c>
      <x:c r="X32" s="42" t="str">
        <x:f>IF(AND('План'!$C31&lt;=X$2+6,'План'!$D31&gt;=X$2),"■","")</x:f>
      </x:c>
      <x:c r="Y32" s="42" t="str">
        <x:f>IF(AND('План'!$C31&lt;=Y$2+6,'План'!$D31&gt;=Y$2),"■","")</x:f>
      </x:c>
      <x:c r="Z32" s="42" t="str">
        <x:f>IF(AND('План'!$C31&lt;=Z$2+6,'План'!$D31&gt;=Z$2),"■","")</x:f>
      </x:c>
      <x:c r="AA32" s="42" t="str">
        <x:f>IF(AND('План'!$C31&lt;=AA$2+6,'План'!$D31&gt;=AA$2),"■","")</x:f>
      </x:c>
      <x:c r="AB32" s="42" t="str">
        <x:f>IF(AND('План'!$C31&lt;=AB$2+6,'План'!$D31&gt;=AB$2),"■","")</x:f>
      </x:c>
      <x:c r="AC32" s="42" t="str">
        <x:f>IF(AND('План'!$C31&lt;=AC$2+6,'План'!$D31&gt;=AC$2),"■","")</x:f>
      </x:c>
      <x:c r="AD32" s="42" t="str">
        <x:f>IF(AND('План'!$C31&lt;=AD$2+6,'План'!$D31&gt;=AD$2),"■","")</x:f>
      </x:c>
      <x:c r="AE32" s="42" t="str">
        <x:f>IF(AND('План'!$C31&lt;=AE$2+6,'План'!$D31&gt;=AE$2),"■","")</x:f>
      </x:c>
      <x:c r="AF32" s="42" t="str">
        <x:f>IF(AND('План'!$C31&lt;=AF$2+6,'План'!$D31&gt;=AF$2),"■","")</x:f>
      </x:c>
      <x:c r="AG32" s="42" t="str">
        <x:f>IF(AND('План'!$C31&lt;=AG$2+6,'План'!$D31&gt;=AG$2),"■","")</x:f>
      </x:c>
      <x:c r="AH32" s="42" t="str">
        <x:f>IF(AND('План'!$C31&lt;=AH$2+6,'План'!$D31&gt;=AH$2),"■","")</x:f>
      </x:c>
      <x:c r="AI32" s="42" t="str">
        <x:f>IF(AND('План'!$C31&lt;=AI$2+6,'План'!$D31&gt;=AI$2),"■","")</x:f>
      </x:c>
      <x:c r="AJ32" s="42" t="str">
        <x:f>IF(AND('План'!$C31&lt;=AJ$2+6,'План'!$D31&gt;=AJ$2),"■","")</x:f>
      </x:c>
      <x:c r="AK32" s="42" t="str">
        <x:f>IF(AND('План'!$C31&lt;=AK$2+6,'План'!$D31&gt;=AK$2),"■","")</x:f>
      </x:c>
      <x:c r="AL32" s="42" t="str">
        <x:f>IF(AND('План'!$C31&lt;=AL$2+6,'План'!$D31&gt;=AL$2),"■","")</x:f>
      </x:c>
      <x:c r="AM32" s="42" t="str">
        <x:f>IF(AND('План'!$C31&lt;=AM$2+6,'План'!$D31&gt;=AM$2),"■","")</x:f>
      </x:c>
      <x:c r="AN32" s="42" t="str">
        <x:f>IF(AND('План'!$C31&lt;=AN$2+6,'План'!$D31&gt;=AN$2),"■","")</x:f>
      </x:c>
    </x:row>
    <x:row r="33" ht="22" customHeight="1">
      <x:c r="A33" t="str">
        <x:f>'План'!A32</x:f>
        <x:v>6.1.2</x:v>
      </x:c>
      <x:c r="B33" t="str">
        <x:f>'План'!B32</x:f>
        <x:v>Лендинг и демонстрация продукта</x:v>
      </x:c>
      <x:c r="C33" t="str">
        <x:f>'План'!F32</x:f>
        <x:v>МК</x:v>
      </x:c>
      <x:c r="D33" s="2" t="n">
        <x:f>'План'!C32</x:f>
        <x:v>46405</x:v>
      </x:c>
      <x:c r="E33" s="2" t="n">
        <x:f>'План'!D32</x:f>
        <x:v>46444</x:v>
      </x:c>
      <x:c r="F33" s="42" t="str">
        <x:f>IF(AND('План'!$C32&lt;=F$2+6,'План'!$D32&gt;=F$2),"■","")</x:f>
      </x:c>
      <x:c r="G33" s="42" t="str">
        <x:f>IF(AND('План'!$C32&lt;=G$2+6,'План'!$D32&gt;=G$2),"■","")</x:f>
      </x:c>
      <x:c r="H33" s="42" t="str">
        <x:f>IF(AND('План'!$C32&lt;=H$2+6,'План'!$D32&gt;=H$2),"■","")</x:f>
      </x:c>
      <x:c r="I33" s="42" t="str">
        <x:f>IF(AND('План'!$C32&lt;=I$2+6,'План'!$D32&gt;=I$2),"■","")</x:f>
      </x:c>
      <x:c r="J33" s="42" t="str">
        <x:f>IF(AND('План'!$C32&lt;=J$2+6,'План'!$D32&gt;=J$2),"■","")</x:f>
      </x:c>
      <x:c r="K33" s="42" t="str">
        <x:f>IF(AND('План'!$C32&lt;=K$2+6,'План'!$D32&gt;=K$2),"■","")</x:f>
      </x:c>
      <x:c r="L33" s="42" t="str">
        <x:f>IF(AND('План'!$C32&lt;=L$2+6,'План'!$D32&gt;=L$2),"■","")</x:f>
      </x:c>
      <x:c r="M33" s="42" t="str">
        <x:f>IF(AND('План'!$C32&lt;=M$2+6,'План'!$D32&gt;=M$2),"■","")</x:f>
      </x:c>
      <x:c r="N33" s="42" t="str">
        <x:f>IF(AND('План'!$C32&lt;=N$2+6,'План'!$D32&gt;=N$2),"■","")</x:f>
      </x:c>
      <x:c r="O33" s="42" t="str">
        <x:f>IF(AND('План'!$C32&lt;=O$2+6,'План'!$D32&gt;=O$2),"■","")</x:f>
      </x:c>
      <x:c r="P33" s="42" t="str">
        <x:f>IF(AND('План'!$C32&lt;=P$2+6,'План'!$D32&gt;=P$2),"■","")</x:f>
      </x:c>
      <x:c r="Q33" s="42" t="str">
        <x:f>IF(AND('План'!$C32&lt;=Q$2+6,'План'!$D32&gt;=Q$2),"■","")</x:f>
        <x:v>■</x:v>
      </x:c>
      <x:c r="R33" s="42" t="str">
        <x:f>IF(AND('План'!$C32&lt;=R$2+6,'План'!$D32&gt;=R$2),"■","")</x:f>
        <x:v>■</x:v>
      </x:c>
      <x:c r="S33" s="42" t="str">
        <x:f>IF(AND('План'!$C32&lt;=S$2+6,'План'!$D32&gt;=S$2),"■","")</x:f>
        <x:v>■</x:v>
      </x:c>
      <x:c r="T33" s="42" t="str">
        <x:f>IF(AND('План'!$C32&lt;=T$2+6,'План'!$D32&gt;=T$2),"■","")</x:f>
        <x:v>■</x:v>
      </x:c>
      <x:c r="U33" s="42" t="str">
        <x:f>IF(AND('План'!$C32&lt;=U$2+6,'План'!$D32&gt;=U$2),"■","")</x:f>
        <x:v>■</x:v>
      </x:c>
      <x:c r="V33" s="42" t="str">
        <x:f>IF(AND('План'!$C32&lt;=V$2+6,'План'!$D32&gt;=V$2),"■","")</x:f>
        <x:v>■</x:v>
      </x:c>
      <x:c r="W33" s="42" t="str">
        <x:f>IF(AND('План'!$C32&lt;=W$2+6,'План'!$D32&gt;=W$2),"■","")</x:f>
      </x:c>
      <x:c r="X33" s="42" t="str">
        <x:f>IF(AND('План'!$C32&lt;=X$2+6,'План'!$D32&gt;=X$2),"■","")</x:f>
      </x:c>
      <x:c r="Y33" s="42" t="str">
        <x:f>IF(AND('План'!$C32&lt;=Y$2+6,'План'!$D32&gt;=Y$2),"■","")</x:f>
      </x:c>
      <x:c r="Z33" s="42" t="str">
        <x:f>IF(AND('План'!$C32&lt;=Z$2+6,'План'!$D32&gt;=Z$2),"■","")</x:f>
      </x:c>
      <x:c r="AA33" s="42" t="str">
        <x:f>IF(AND('План'!$C32&lt;=AA$2+6,'План'!$D32&gt;=AA$2),"■","")</x:f>
      </x:c>
      <x:c r="AB33" s="42" t="str">
        <x:f>IF(AND('План'!$C32&lt;=AB$2+6,'План'!$D32&gt;=AB$2),"■","")</x:f>
      </x:c>
      <x:c r="AC33" s="42" t="str">
        <x:f>IF(AND('План'!$C32&lt;=AC$2+6,'План'!$D32&gt;=AC$2),"■","")</x:f>
      </x:c>
      <x:c r="AD33" s="42" t="str">
        <x:f>IF(AND('План'!$C32&lt;=AD$2+6,'План'!$D32&gt;=AD$2),"■","")</x:f>
      </x:c>
      <x:c r="AE33" s="42" t="str">
        <x:f>IF(AND('План'!$C32&lt;=AE$2+6,'План'!$D32&gt;=AE$2),"■","")</x:f>
      </x:c>
      <x:c r="AF33" s="42" t="str">
        <x:f>IF(AND('План'!$C32&lt;=AF$2+6,'План'!$D32&gt;=AF$2),"■","")</x:f>
      </x:c>
      <x:c r="AG33" s="42" t="str">
        <x:f>IF(AND('План'!$C32&lt;=AG$2+6,'План'!$D32&gt;=AG$2),"■","")</x:f>
      </x:c>
      <x:c r="AH33" s="42" t="str">
        <x:f>IF(AND('План'!$C32&lt;=AH$2+6,'План'!$D32&gt;=AH$2),"■","")</x:f>
      </x:c>
      <x:c r="AI33" s="42" t="str">
        <x:f>IF(AND('План'!$C32&lt;=AI$2+6,'План'!$D32&gt;=AI$2),"■","")</x:f>
      </x:c>
      <x:c r="AJ33" s="42" t="str">
        <x:f>IF(AND('План'!$C32&lt;=AJ$2+6,'План'!$D32&gt;=AJ$2),"■","")</x:f>
      </x:c>
      <x:c r="AK33" s="42" t="str">
        <x:f>IF(AND('План'!$C32&lt;=AK$2+6,'План'!$D32&gt;=AK$2),"■","")</x:f>
      </x:c>
      <x:c r="AL33" s="42" t="str">
        <x:f>IF(AND('План'!$C32&lt;=AL$2+6,'План'!$D32&gt;=AL$2),"■","")</x:f>
      </x:c>
      <x:c r="AM33" s="42" t="str">
        <x:f>IF(AND('План'!$C32&lt;=AM$2+6,'План'!$D32&gt;=AM$2),"■","")</x:f>
      </x:c>
      <x:c r="AN33" s="42" t="str">
        <x:f>IF(AND('План'!$C32&lt;=AN$2+6,'План'!$D32&gt;=AN$2),"■","")</x:f>
      </x:c>
    </x:row>
    <x:row r="34" ht="22" customHeight="1">
      <x:c r="A34" t="str">
        <x:f>'План'!A33</x:f>
        <x:v>6.1.3</x:v>
      </x:c>
      <x:c r="B34" t="str">
        <x:f>'План'!B33</x:f>
        <x:v>Контент-план и учебные материалы</x:v>
      </x:c>
      <x:c r="C34" t="str">
        <x:f>'План'!F33</x:f>
        <x:v>МК</x:v>
      </x:c>
      <x:c r="D34" s="2" t="n">
        <x:f>'План'!C33</x:f>
        <x:v>46447</x:v>
      </x:c>
      <x:c r="E34" s="2" t="n">
        <x:f>'План'!D33</x:f>
        <x:v>46472</x:v>
      </x:c>
      <x:c r="F34" s="42" t="str">
        <x:f>IF(AND('План'!$C33&lt;=F$2+6,'План'!$D33&gt;=F$2),"■","")</x:f>
      </x:c>
      <x:c r="G34" s="42" t="str">
        <x:f>IF(AND('План'!$C33&lt;=G$2+6,'План'!$D33&gt;=G$2),"■","")</x:f>
      </x:c>
      <x:c r="H34" s="42" t="str">
        <x:f>IF(AND('План'!$C33&lt;=H$2+6,'План'!$D33&gt;=H$2),"■","")</x:f>
      </x:c>
      <x:c r="I34" s="42" t="str">
        <x:f>IF(AND('План'!$C33&lt;=I$2+6,'План'!$D33&gt;=I$2),"■","")</x:f>
      </x:c>
      <x:c r="J34" s="42" t="str">
        <x:f>IF(AND('План'!$C33&lt;=J$2+6,'План'!$D33&gt;=J$2),"■","")</x:f>
      </x:c>
      <x:c r="K34" s="42" t="str">
        <x:f>IF(AND('План'!$C33&lt;=K$2+6,'План'!$D33&gt;=K$2),"■","")</x:f>
      </x:c>
      <x:c r="L34" s="42" t="str">
        <x:f>IF(AND('План'!$C33&lt;=L$2+6,'План'!$D33&gt;=L$2),"■","")</x:f>
      </x:c>
      <x:c r="M34" s="42" t="str">
        <x:f>IF(AND('План'!$C33&lt;=M$2+6,'План'!$D33&gt;=M$2),"■","")</x:f>
      </x:c>
      <x:c r="N34" s="42" t="str">
        <x:f>IF(AND('План'!$C33&lt;=N$2+6,'План'!$D33&gt;=N$2),"■","")</x:f>
      </x:c>
      <x:c r="O34" s="42" t="str">
        <x:f>IF(AND('План'!$C33&lt;=O$2+6,'План'!$D33&gt;=O$2),"■","")</x:f>
      </x:c>
      <x:c r="P34" s="42" t="str">
        <x:f>IF(AND('План'!$C33&lt;=P$2+6,'План'!$D33&gt;=P$2),"■","")</x:f>
      </x:c>
      <x:c r="Q34" s="42" t="str">
        <x:f>IF(AND('План'!$C33&lt;=Q$2+6,'План'!$D33&gt;=Q$2),"■","")</x:f>
      </x:c>
      <x:c r="R34" s="42" t="str">
        <x:f>IF(AND('План'!$C33&lt;=R$2+6,'План'!$D33&gt;=R$2),"■","")</x:f>
      </x:c>
      <x:c r="S34" s="42" t="str">
        <x:f>IF(AND('План'!$C33&lt;=S$2+6,'План'!$D33&gt;=S$2),"■","")</x:f>
      </x:c>
      <x:c r="T34" s="42" t="str">
        <x:f>IF(AND('План'!$C33&lt;=T$2+6,'План'!$D33&gt;=T$2),"■","")</x:f>
      </x:c>
      <x:c r="U34" s="42" t="str">
        <x:f>IF(AND('План'!$C33&lt;=U$2+6,'План'!$D33&gt;=U$2),"■","")</x:f>
      </x:c>
      <x:c r="V34" s="42" t="str">
        <x:f>IF(AND('План'!$C33&lt;=V$2+6,'План'!$D33&gt;=V$2),"■","")</x:f>
      </x:c>
      <x:c r="W34" s="42" t="str">
        <x:f>IF(AND('План'!$C33&lt;=W$2+6,'План'!$D33&gt;=W$2),"■","")</x:f>
        <x:v>■</x:v>
      </x:c>
      <x:c r="X34" s="42" t="str">
        <x:f>IF(AND('План'!$C33&lt;=X$2+6,'План'!$D33&gt;=X$2),"■","")</x:f>
        <x:v>■</x:v>
      </x:c>
      <x:c r="Y34" s="42" t="str">
        <x:f>IF(AND('План'!$C33&lt;=Y$2+6,'План'!$D33&gt;=Y$2),"■","")</x:f>
        <x:v>■</x:v>
      </x:c>
      <x:c r="Z34" s="42" t="str">
        <x:f>IF(AND('План'!$C33&lt;=Z$2+6,'План'!$D33&gt;=Z$2),"■","")</x:f>
        <x:v>■</x:v>
      </x:c>
      <x:c r="AA34" s="42" t="str">
        <x:f>IF(AND('План'!$C33&lt;=AA$2+6,'План'!$D33&gt;=AA$2),"■","")</x:f>
      </x:c>
      <x:c r="AB34" s="42" t="str">
        <x:f>IF(AND('План'!$C33&lt;=AB$2+6,'План'!$D33&gt;=AB$2),"■","")</x:f>
      </x:c>
      <x:c r="AC34" s="42" t="str">
        <x:f>IF(AND('План'!$C33&lt;=AC$2+6,'План'!$D33&gt;=AC$2),"■","")</x:f>
      </x:c>
      <x:c r="AD34" s="42" t="str">
        <x:f>IF(AND('План'!$C33&lt;=AD$2+6,'План'!$D33&gt;=AD$2),"■","")</x:f>
      </x:c>
      <x:c r="AE34" s="42" t="str">
        <x:f>IF(AND('План'!$C33&lt;=AE$2+6,'План'!$D33&gt;=AE$2),"■","")</x:f>
      </x:c>
      <x:c r="AF34" s="42" t="str">
        <x:f>IF(AND('План'!$C33&lt;=AF$2+6,'План'!$D33&gt;=AF$2),"■","")</x:f>
      </x:c>
      <x:c r="AG34" s="42" t="str">
        <x:f>IF(AND('План'!$C33&lt;=AG$2+6,'План'!$D33&gt;=AG$2),"■","")</x:f>
      </x:c>
      <x:c r="AH34" s="42" t="str">
        <x:f>IF(AND('План'!$C33&lt;=AH$2+6,'План'!$D33&gt;=AH$2),"■","")</x:f>
      </x:c>
      <x:c r="AI34" s="42" t="str">
        <x:f>IF(AND('План'!$C33&lt;=AI$2+6,'План'!$D33&gt;=AI$2),"■","")</x:f>
      </x:c>
      <x:c r="AJ34" s="42" t="str">
        <x:f>IF(AND('План'!$C33&lt;=AJ$2+6,'План'!$D33&gt;=AJ$2),"■","")</x:f>
      </x:c>
      <x:c r="AK34" s="42" t="str">
        <x:f>IF(AND('План'!$C33&lt;=AK$2+6,'План'!$D33&gt;=AK$2),"■","")</x:f>
      </x:c>
      <x:c r="AL34" s="42" t="str">
        <x:f>IF(AND('План'!$C33&lt;=AL$2+6,'План'!$D33&gt;=AL$2),"■","")</x:f>
      </x:c>
      <x:c r="AM34" s="42" t="str">
        <x:f>IF(AND('План'!$C33&lt;=AM$2+6,'План'!$D33&gt;=AM$2),"■","")</x:f>
      </x:c>
      <x:c r="AN34" s="42" t="str">
        <x:f>IF(AND('План'!$C33&lt;=AN$2+6,'План'!$D33&gt;=AN$2),"■","")</x:f>
      </x:c>
    </x:row>
    <x:row r="35" ht="22" customHeight="1">
      <x:c r="A35" t="str">
        <x:f>'План'!A34</x:f>
        <x:v>6.2.1</x:v>
      </x:c>
      <x:c r="B35" t="str">
        <x:f>'План'!B34</x:f>
        <x:v>Набор пилотной группы</x:v>
      </x:c>
      <x:c r="C35" t="str">
        <x:f>'План'!F34</x:f>
        <x:v>МК</x:v>
      </x:c>
      <x:c r="D35" s="2" t="n">
        <x:f>'План'!C34</x:f>
        <x:v>46482</x:v>
      </x:c>
      <x:c r="E35" s="2" t="n">
        <x:f>'План'!D34</x:f>
        <x:v>46507</x:v>
      </x:c>
      <x:c r="F35" s="42" t="str">
        <x:f>IF(AND('План'!$C34&lt;=F$2+6,'План'!$D34&gt;=F$2),"■","")</x:f>
      </x:c>
      <x:c r="G35" s="42" t="str">
        <x:f>IF(AND('План'!$C34&lt;=G$2+6,'План'!$D34&gt;=G$2),"■","")</x:f>
      </x:c>
      <x:c r="H35" s="42" t="str">
        <x:f>IF(AND('План'!$C34&lt;=H$2+6,'План'!$D34&gt;=H$2),"■","")</x:f>
      </x:c>
      <x:c r="I35" s="42" t="str">
        <x:f>IF(AND('План'!$C34&lt;=I$2+6,'План'!$D34&gt;=I$2),"■","")</x:f>
      </x:c>
      <x:c r="J35" s="42" t="str">
        <x:f>IF(AND('План'!$C34&lt;=J$2+6,'План'!$D34&gt;=J$2),"■","")</x:f>
      </x:c>
      <x:c r="K35" s="42" t="str">
        <x:f>IF(AND('План'!$C34&lt;=K$2+6,'План'!$D34&gt;=K$2),"■","")</x:f>
      </x:c>
      <x:c r="L35" s="42" t="str">
        <x:f>IF(AND('План'!$C34&lt;=L$2+6,'План'!$D34&gt;=L$2),"■","")</x:f>
      </x:c>
      <x:c r="M35" s="42" t="str">
        <x:f>IF(AND('План'!$C34&lt;=M$2+6,'План'!$D34&gt;=M$2),"■","")</x:f>
      </x:c>
      <x:c r="N35" s="42" t="str">
        <x:f>IF(AND('План'!$C34&lt;=N$2+6,'План'!$D34&gt;=N$2),"■","")</x:f>
      </x:c>
      <x:c r="O35" s="42" t="str">
        <x:f>IF(AND('План'!$C34&lt;=O$2+6,'План'!$D34&gt;=O$2),"■","")</x:f>
      </x:c>
      <x:c r="P35" s="42" t="str">
        <x:f>IF(AND('План'!$C34&lt;=P$2+6,'План'!$D34&gt;=P$2),"■","")</x:f>
      </x:c>
      <x:c r="Q35" s="42" t="str">
        <x:f>IF(AND('План'!$C34&lt;=Q$2+6,'План'!$D34&gt;=Q$2),"■","")</x:f>
      </x:c>
      <x:c r="R35" s="42" t="str">
        <x:f>IF(AND('План'!$C34&lt;=R$2+6,'План'!$D34&gt;=R$2),"■","")</x:f>
      </x:c>
      <x:c r="S35" s="42" t="str">
        <x:f>IF(AND('План'!$C34&lt;=S$2+6,'План'!$D34&gt;=S$2),"■","")</x:f>
      </x:c>
      <x:c r="T35" s="42" t="str">
        <x:f>IF(AND('План'!$C34&lt;=T$2+6,'План'!$D34&gt;=T$2),"■","")</x:f>
      </x:c>
      <x:c r="U35" s="42" t="str">
        <x:f>IF(AND('План'!$C34&lt;=U$2+6,'План'!$D34&gt;=U$2),"■","")</x:f>
      </x:c>
      <x:c r="V35" s="42" t="str">
        <x:f>IF(AND('План'!$C34&lt;=V$2+6,'План'!$D34&gt;=V$2),"■","")</x:f>
      </x:c>
      <x:c r="W35" s="42" t="str">
        <x:f>IF(AND('План'!$C34&lt;=W$2+6,'План'!$D34&gt;=W$2),"■","")</x:f>
      </x:c>
      <x:c r="X35" s="42" t="str">
        <x:f>IF(AND('План'!$C34&lt;=X$2+6,'План'!$D34&gt;=X$2),"■","")</x:f>
      </x:c>
      <x:c r="Y35" s="42" t="str">
        <x:f>IF(AND('План'!$C34&lt;=Y$2+6,'План'!$D34&gt;=Y$2),"■","")</x:f>
      </x:c>
      <x:c r="Z35" s="42" t="str">
        <x:f>IF(AND('План'!$C34&lt;=Z$2+6,'План'!$D34&gt;=Z$2),"■","")</x:f>
      </x:c>
      <x:c r="AA35" s="42" t="str">
        <x:f>IF(AND('План'!$C34&lt;=AA$2+6,'План'!$D34&gt;=AA$2),"■","")</x:f>
      </x:c>
      <x:c r="AB35" s="42" t="str">
        <x:f>IF(AND('План'!$C34&lt;=AB$2+6,'План'!$D34&gt;=AB$2),"■","")</x:f>
        <x:v>■</x:v>
      </x:c>
      <x:c r="AC35" s="42" t="str">
        <x:f>IF(AND('План'!$C34&lt;=AC$2+6,'План'!$D34&gt;=AC$2),"■","")</x:f>
        <x:v>■</x:v>
      </x:c>
      <x:c r="AD35" s="42" t="str">
        <x:f>IF(AND('План'!$C34&lt;=AD$2+6,'План'!$D34&gt;=AD$2),"■","")</x:f>
        <x:v>■</x:v>
      </x:c>
      <x:c r="AE35" s="42" t="str">
        <x:f>IF(AND('План'!$C34&lt;=AE$2+6,'План'!$D34&gt;=AE$2),"■","")</x:f>
        <x:v>■</x:v>
      </x:c>
      <x:c r="AF35" s="42" t="str">
        <x:f>IF(AND('План'!$C34&lt;=AF$2+6,'План'!$D34&gt;=AF$2),"■","")</x:f>
      </x:c>
      <x:c r="AG35" s="42" t="str">
        <x:f>IF(AND('План'!$C34&lt;=AG$2+6,'План'!$D34&gt;=AG$2),"■","")</x:f>
      </x:c>
      <x:c r="AH35" s="42" t="str">
        <x:f>IF(AND('План'!$C34&lt;=AH$2+6,'План'!$D34&gt;=AH$2),"■","")</x:f>
      </x:c>
      <x:c r="AI35" s="42" t="str">
        <x:f>IF(AND('План'!$C34&lt;=AI$2+6,'План'!$D34&gt;=AI$2),"■","")</x:f>
      </x:c>
      <x:c r="AJ35" s="42" t="str">
        <x:f>IF(AND('План'!$C34&lt;=AJ$2+6,'План'!$D34&gt;=AJ$2),"■","")</x:f>
      </x:c>
      <x:c r="AK35" s="42" t="str">
        <x:f>IF(AND('План'!$C34&lt;=AK$2+6,'План'!$D34&gt;=AK$2),"■","")</x:f>
      </x:c>
      <x:c r="AL35" s="42" t="str">
        <x:f>IF(AND('План'!$C34&lt;=AL$2+6,'План'!$D34&gt;=AL$2),"■","")</x:f>
      </x:c>
      <x:c r="AM35" s="42" t="str">
        <x:f>IF(AND('План'!$C34&lt;=AM$2+6,'План'!$D34&gt;=AM$2),"■","")</x:f>
      </x:c>
      <x:c r="AN35" s="42" t="str">
        <x:f>IF(AND('План'!$C34&lt;=AN$2+6,'План'!$D34&gt;=AN$2),"■","")</x:f>
      </x:c>
    </x:row>
    <x:row r="36" ht="22" customHeight="1">
      <x:c r="A36" t="str">
        <x:f>'План'!A35</x:f>
        <x:v>6.2.2</x:v>
      </x:c>
      <x:c r="B36" t="str">
        <x:f>'План'!B35</x:f>
        <x:v>Пилот и сбор обратной связи</x:v>
      </x:c>
      <x:c r="C36" t="str">
        <x:f>'План'!F35</x:f>
        <x:v>МК</x:v>
      </x:c>
      <x:c r="D36" s="2" t="n">
        <x:f>'План'!C35</x:f>
        <x:v>46510</x:v>
      </x:c>
      <x:c r="E36" s="2" t="n">
        <x:f>'План'!D35</x:f>
        <x:v>46535</x:v>
      </x:c>
      <x:c r="F36" s="42" t="str">
        <x:f>IF(AND('План'!$C35&lt;=F$2+6,'План'!$D35&gt;=F$2),"■","")</x:f>
      </x:c>
      <x:c r="G36" s="42" t="str">
        <x:f>IF(AND('План'!$C35&lt;=G$2+6,'План'!$D35&gt;=G$2),"■","")</x:f>
      </x:c>
      <x:c r="H36" s="42" t="str">
        <x:f>IF(AND('План'!$C35&lt;=H$2+6,'План'!$D35&gt;=H$2),"■","")</x:f>
      </x:c>
      <x:c r="I36" s="42" t="str">
        <x:f>IF(AND('План'!$C35&lt;=I$2+6,'План'!$D35&gt;=I$2),"■","")</x:f>
      </x:c>
      <x:c r="J36" s="42" t="str">
        <x:f>IF(AND('План'!$C35&lt;=J$2+6,'План'!$D35&gt;=J$2),"■","")</x:f>
      </x:c>
      <x:c r="K36" s="42" t="str">
        <x:f>IF(AND('План'!$C35&lt;=K$2+6,'План'!$D35&gt;=K$2),"■","")</x:f>
      </x:c>
      <x:c r="L36" s="42" t="str">
        <x:f>IF(AND('План'!$C35&lt;=L$2+6,'План'!$D35&gt;=L$2),"■","")</x:f>
      </x:c>
      <x:c r="M36" s="42" t="str">
        <x:f>IF(AND('План'!$C35&lt;=M$2+6,'План'!$D35&gt;=M$2),"■","")</x:f>
      </x:c>
      <x:c r="N36" s="42" t="str">
        <x:f>IF(AND('План'!$C35&lt;=N$2+6,'План'!$D35&gt;=N$2),"■","")</x:f>
      </x:c>
      <x:c r="O36" s="42" t="str">
        <x:f>IF(AND('План'!$C35&lt;=O$2+6,'План'!$D35&gt;=O$2),"■","")</x:f>
      </x:c>
      <x:c r="P36" s="42" t="str">
        <x:f>IF(AND('План'!$C35&lt;=P$2+6,'План'!$D35&gt;=P$2),"■","")</x:f>
      </x:c>
      <x:c r="Q36" s="42" t="str">
        <x:f>IF(AND('План'!$C35&lt;=Q$2+6,'План'!$D35&gt;=Q$2),"■","")</x:f>
      </x:c>
      <x:c r="R36" s="42" t="str">
        <x:f>IF(AND('План'!$C35&lt;=R$2+6,'План'!$D35&gt;=R$2),"■","")</x:f>
      </x:c>
      <x:c r="S36" s="42" t="str">
        <x:f>IF(AND('План'!$C35&lt;=S$2+6,'План'!$D35&gt;=S$2),"■","")</x:f>
      </x:c>
      <x:c r="T36" s="42" t="str">
        <x:f>IF(AND('План'!$C35&lt;=T$2+6,'План'!$D35&gt;=T$2),"■","")</x:f>
      </x:c>
      <x:c r="U36" s="42" t="str">
        <x:f>IF(AND('План'!$C35&lt;=U$2+6,'План'!$D35&gt;=U$2),"■","")</x:f>
      </x:c>
      <x:c r="V36" s="42" t="str">
        <x:f>IF(AND('План'!$C35&lt;=V$2+6,'План'!$D35&gt;=V$2),"■","")</x:f>
      </x:c>
      <x:c r="W36" s="42" t="str">
        <x:f>IF(AND('План'!$C35&lt;=W$2+6,'План'!$D35&gt;=W$2),"■","")</x:f>
      </x:c>
      <x:c r="X36" s="42" t="str">
        <x:f>IF(AND('План'!$C35&lt;=X$2+6,'План'!$D35&gt;=X$2),"■","")</x:f>
      </x:c>
      <x:c r="Y36" s="42" t="str">
        <x:f>IF(AND('План'!$C35&lt;=Y$2+6,'План'!$D35&gt;=Y$2),"■","")</x:f>
      </x:c>
      <x:c r="Z36" s="42" t="str">
        <x:f>IF(AND('План'!$C35&lt;=Z$2+6,'План'!$D35&gt;=Z$2),"■","")</x:f>
      </x:c>
      <x:c r="AA36" s="42" t="str">
        <x:f>IF(AND('План'!$C35&lt;=AA$2+6,'План'!$D35&gt;=AA$2),"■","")</x:f>
      </x:c>
      <x:c r="AB36" s="42" t="str">
        <x:f>IF(AND('План'!$C35&lt;=AB$2+6,'План'!$D35&gt;=AB$2),"■","")</x:f>
      </x:c>
      <x:c r="AC36" s="42" t="str">
        <x:f>IF(AND('План'!$C35&lt;=AC$2+6,'План'!$D35&gt;=AC$2),"■","")</x:f>
      </x:c>
      <x:c r="AD36" s="42" t="str">
        <x:f>IF(AND('План'!$C35&lt;=AD$2+6,'План'!$D35&gt;=AD$2),"■","")</x:f>
      </x:c>
      <x:c r="AE36" s="42" t="str">
        <x:f>IF(AND('План'!$C35&lt;=AE$2+6,'План'!$D35&gt;=AE$2),"■","")</x:f>
      </x:c>
      <x:c r="AF36" s="42" t="str">
        <x:f>IF(AND('План'!$C35&lt;=AF$2+6,'План'!$D35&gt;=AF$2),"■","")</x:f>
        <x:v>■</x:v>
      </x:c>
      <x:c r="AG36" s="42" t="str">
        <x:f>IF(AND('План'!$C35&lt;=AG$2+6,'План'!$D35&gt;=AG$2),"■","")</x:f>
        <x:v>■</x:v>
      </x:c>
      <x:c r="AH36" s="42" t="str">
        <x:f>IF(AND('План'!$C35&lt;=AH$2+6,'План'!$D35&gt;=AH$2),"■","")</x:f>
        <x:v>■</x:v>
      </x:c>
      <x:c r="AI36" s="42" t="str">
        <x:f>IF(AND('План'!$C35&lt;=AI$2+6,'План'!$D35&gt;=AI$2),"■","")</x:f>
        <x:v>■</x:v>
      </x:c>
      <x:c r="AJ36" s="42" t="str">
        <x:f>IF(AND('План'!$C35&lt;=AJ$2+6,'План'!$D35&gt;=AJ$2),"■","")</x:f>
      </x:c>
      <x:c r="AK36" s="42" t="str">
        <x:f>IF(AND('План'!$C35&lt;=AK$2+6,'План'!$D35&gt;=AK$2),"■","")</x:f>
      </x:c>
      <x:c r="AL36" s="42" t="str">
        <x:f>IF(AND('План'!$C35&lt;=AL$2+6,'План'!$D35&gt;=AL$2),"■","")</x:f>
      </x:c>
      <x:c r="AM36" s="42" t="str">
        <x:f>IF(AND('План'!$C35&lt;=AM$2+6,'План'!$D35&gt;=AM$2),"■","")</x:f>
      </x:c>
      <x:c r="AN36" s="42" t="str">
        <x:f>IF(AND('План'!$C35&lt;=AN$2+6,'План'!$D35&gt;=AN$2),"■","")</x:f>
      </x:c>
    </x:row>
    <x:row r="37" ht="22" customHeight="1">
      <x:c r="A37" t="str">
        <x:f>'План'!A36</x:f>
        <x:v>6.2.3</x:v>
      </x:c>
      <x:c r="B37" t="str">
        <x:f>'План'!B36</x:f>
        <x:v>Анализ отклика и гипотезы монетизации</x:v>
      </x:c>
      <x:c r="C37" t="str">
        <x:f>'План'!F36</x:f>
        <x:v>МК</x:v>
      </x:c>
      <x:c r="D37" s="2" t="n">
        <x:f>'План'!C36</x:f>
        <x:v>46538</x:v>
      </x:c>
      <x:c r="E37" s="2" t="n">
        <x:f>'План'!D36</x:f>
        <x:v>46556</x:v>
      </x:c>
      <x:c r="F37" s="42" t="str">
        <x:f>IF(AND('План'!$C36&lt;=F$2+6,'План'!$D36&gt;=F$2),"■","")</x:f>
      </x:c>
      <x:c r="G37" s="42" t="str">
        <x:f>IF(AND('План'!$C36&lt;=G$2+6,'План'!$D36&gt;=G$2),"■","")</x:f>
      </x:c>
      <x:c r="H37" s="42" t="str">
        <x:f>IF(AND('План'!$C36&lt;=H$2+6,'План'!$D36&gt;=H$2),"■","")</x:f>
      </x:c>
      <x:c r="I37" s="42" t="str">
        <x:f>IF(AND('План'!$C36&lt;=I$2+6,'План'!$D36&gt;=I$2),"■","")</x:f>
      </x:c>
      <x:c r="J37" s="42" t="str">
        <x:f>IF(AND('План'!$C36&lt;=J$2+6,'План'!$D36&gt;=J$2),"■","")</x:f>
      </x:c>
      <x:c r="K37" s="42" t="str">
        <x:f>IF(AND('План'!$C36&lt;=K$2+6,'План'!$D36&gt;=K$2),"■","")</x:f>
      </x:c>
      <x:c r="L37" s="42" t="str">
        <x:f>IF(AND('План'!$C36&lt;=L$2+6,'План'!$D36&gt;=L$2),"■","")</x:f>
      </x:c>
      <x:c r="M37" s="42" t="str">
        <x:f>IF(AND('План'!$C36&lt;=M$2+6,'План'!$D36&gt;=M$2),"■","")</x:f>
      </x:c>
      <x:c r="N37" s="42" t="str">
        <x:f>IF(AND('План'!$C36&lt;=N$2+6,'План'!$D36&gt;=N$2),"■","")</x:f>
      </x:c>
      <x:c r="O37" s="42" t="str">
        <x:f>IF(AND('План'!$C36&lt;=O$2+6,'План'!$D36&gt;=O$2),"■","")</x:f>
      </x:c>
      <x:c r="P37" s="42" t="str">
        <x:f>IF(AND('План'!$C36&lt;=P$2+6,'План'!$D36&gt;=P$2),"■","")</x:f>
      </x:c>
      <x:c r="Q37" s="42" t="str">
        <x:f>IF(AND('План'!$C36&lt;=Q$2+6,'План'!$D36&gt;=Q$2),"■","")</x:f>
      </x:c>
      <x:c r="R37" s="42" t="str">
        <x:f>IF(AND('План'!$C36&lt;=R$2+6,'План'!$D36&gt;=R$2),"■","")</x:f>
      </x:c>
      <x:c r="S37" s="42" t="str">
        <x:f>IF(AND('План'!$C36&lt;=S$2+6,'План'!$D36&gt;=S$2),"■","")</x:f>
      </x:c>
      <x:c r="T37" s="42" t="str">
        <x:f>IF(AND('План'!$C36&lt;=T$2+6,'План'!$D36&gt;=T$2),"■","")</x:f>
      </x:c>
      <x:c r="U37" s="42" t="str">
        <x:f>IF(AND('План'!$C36&lt;=U$2+6,'План'!$D36&gt;=U$2),"■","")</x:f>
      </x:c>
      <x:c r="V37" s="42" t="str">
        <x:f>IF(AND('План'!$C36&lt;=V$2+6,'План'!$D36&gt;=V$2),"■","")</x:f>
      </x:c>
      <x:c r="W37" s="42" t="str">
        <x:f>IF(AND('План'!$C36&lt;=W$2+6,'План'!$D36&gt;=W$2),"■","")</x:f>
      </x:c>
      <x:c r="X37" s="42" t="str">
        <x:f>IF(AND('План'!$C36&lt;=X$2+6,'План'!$D36&gt;=X$2),"■","")</x:f>
      </x:c>
      <x:c r="Y37" s="42" t="str">
        <x:f>IF(AND('План'!$C36&lt;=Y$2+6,'План'!$D36&gt;=Y$2),"■","")</x:f>
      </x:c>
      <x:c r="Z37" s="42" t="str">
        <x:f>IF(AND('План'!$C36&lt;=Z$2+6,'План'!$D36&gt;=Z$2),"■","")</x:f>
      </x:c>
      <x:c r="AA37" s="42" t="str">
        <x:f>IF(AND('План'!$C36&lt;=AA$2+6,'План'!$D36&gt;=AA$2),"■","")</x:f>
      </x:c>
      <x:c r="AB37" s="42" t="str">
        <x:f>IF(AND('План'!$C36&lt;=AB$2+6,'План'!$D36&gt;=AB$2),"■","")</x:f>
      </x:c>
      <x:c r="AC37" s="42" t="str">
        <x:f>IF(AND('План'!$C36&lt;=AC$2+6,'План'!$D36&gt;=AC$2),"■","")</x:f>
      </x:c>
      <x:c r="AD37" s="42" t="str">
        <x:f>IF(AND('План'!$C36&lt;=AD$2+6,'План'!$D36&gt;=AD$2),"■","")</x:f>
      </x:c>
      <x:c r="AE37" s="42" t="str">
        <x:f>IF(AND('План'!$C36&lt;=AE$2+6,'План'!$D36&gt;=AE$2),"■","")</x:f>
      </x:c>
      <x:c r="AF37" s="42" t="str">
        <x:f>IF(AND('План'!$C36&lt;=AF$2+6,'План'!$D36&gt;=AF$2),"■","")</x:f>
      </x:c>
      <x:c r="AG37" s="42" t="str">
        <x:f>IF(AND('План'!$C36&lt;=AG$2+6,'План'!$D36&gt;=AG$2),"■","")</x:f>
      </x:c>
      <x:c r="AH37" s="42" t="str">
        <x:f>IF(AND('План'!$C36&lt;=AH$2+6,'План'!$D36&gt;=AH$2),"■","")</x:f>
      </x:c>
      <x:c r="AI37" s="42" t="str">
        <x:f>IF(AND('План'!$C36&lt;=AI$2+6,'План'!$D36&gt;=AI$2),"■","")</x:f>
      </x:c>
      <x:c r="AJ37" s="42" t="str">
        <x:f>IF(AND('План'!$C36&lt;=AJ$2+6,'План'!$D36&gt;=AJ$2),"■","")</x:f>
        <x:v>■</x:v>
      </x:c>
      <x:c r="AK37" s="42" t="str">
        <x:f>IF(AND('План'!$C36&lt;=AK$2+6,'План'!$D36&gt;=AK$2),"■","")</x:f>
        <x:v>■</x:v>
      </x:c>
      <x:c r="AL37" s="42" t="str">
        <x:f>IF(AND('План'!$C36&lt;=AL$2+6,'План'!$D36&gt;=AL$2),"■","")</x:f>
        <x:v>■</x:v>
      </x:c>
      <x:c r="AM37" s="42" t="str">
        <x:f>IF(AND('План'!$C36&lt;=AM$2+6,'План'!$D36&gt;=AM$2),"■","")</x:f>
      </x:c>
      <x:c r="AN37" s="42" t="str">
        <x:f>IF(AND('План'!$C36&lt;=AN$2+6,'План'!$D36&gt;=AN$2),"■","")</x:f>
      </x:c>
    </x:row>
    <x:row r="38" ht="22" customHeight="1">
      <x:c r="A38" t="str">
        <x:f>'План'!A37</x:f>
        <x:v>6.2.4</x:v>
      </x:c>
      <x:c r="B38" t="str">
        <x:f>'План'!B37</x:f>
        <x:v>Презентация и план запуска</x:v>
      </x:c>
      <x:c r="C38" t="str">
        <x:f>'План'!F37</x:f>
        <x:v>РП</x:v>
      </x:c>
      <x:c r="D38" s="2" t="n">
        <x:f>'План'!C37</x:f>
        <x:v>46559</x:v>
      </x:c>
      <x:c r="E38" s="2" t="n">
        <x:f>'План'!D37</x:f>
        <x:v>46568</x:v>
      </x:c>
      <x:c r="F38" s="42" t="str">
        <x:f>IF(AND('План'!$C37&lt;=F$2+6,'План'!$D37&gt;=F$2),"■","")</x:f>
      </x:c>
      <x:c r="G38" s="42" t="str">
        <x:f>IF(AND('План'!$C37&lt;=G$2+6,'План'!$D37&gt;=G$2),"■","")</x:f>
      </x:c>
      <x:c r="H38" s="42" t="str">
        <x:f>IF(AND('План'!$C37&lt;=H$2+6,'План'!$D37&gt;=H$2),"■","")</x:f>
      </x:c>
      <x:c r="I38" s="42" t="str">
        <x:f>IF(AND('План'!$C37&lt;=I$2+6,'План'!$D37&gt;=I$2),"■","")</x:f>
      </x:c>
      <x:c r="J38" s="42" t="str">
        <x:f>IF(AND('План'!$C37&lt;=J$2+6,'План'!$D37&gt;=J$2),"■","")</x:f>
      </x:c>
      <x:c r="K38" s="42" t="str">
        <x:f>IF(AND('План'!$C37&lt;=K$2+6,'План'!$D37&gt;=K$2),"■","")</x:f>
      </x:c>
      <x:c r="L38" s="42" t="str">
        <x:f>IF(AND('План'!$C37&lt;=L$2+6,'План'!$D37&gt;=L$2),"■","")</x:f>
      </x:c>
      <x:c r="M38" s="42" t="str">
        <x:f>IF(AND('План'!$C37&lt;=M$2+6,'План'!$D37&gt;=M$2),"■","")</x:f>
      </x:c>
      <x:c r="N38" s="42" t="str">
        <x:f>IF(AND('План'!$C37&lt;=N$2+6,'План'!$D37&gt;=N$2),"■","")</x:f>
      </x:c>
      <x:c r="O38" s="42" t="str">
        <x:f>IF(AND('План'!$C37&lt;=O$2+6,'План'!$D37&gt;=O$2),"■","")</x:f>
      </x:c>
      <x:c r="P38" s="42" t="str">
        <x:f>IF(AND('План'!$C37&lt;=P$2+6,'План'!$D37&gt;=P$2),"■","")</x:f>
      </x:c>
      <x:c r="Q38" s="42" t="str">
        <x:f>IF(AND('План'!$C37&lt;=Q$2+6,'План'!$D37&gt;=Q$2),"■","")</x:f>
      </x:c>
      <x:c r="R38" s="42" t="str">
        <x:f>IF(AND('План'!$C37&lt;=R$2+6,'План'!$D37&gt;=R$2),"■","")</x:f>
      </x:c>
      <x:c r="S38" s="42" t="str">
        <x:f>IF(AND('План'!$C37&lt;=S$2+6,'План'!$D37&gt;=S$2),"■","")</x:f>
      </x:c>
      <x:c r="T38" s="42" t="str">
        <x:f>IF(AND('План'!$C37&lt;=T$2+6,'План'!$D37&gt;=T$2),"■","")</x:f>
      </x:c>
      <x:c r="U38" s="42" t="str">
        <x:f>IF(AND('План'!$C37&lt;=U$2+6,'План'!$D37&gt;=U$2),"■","")</x:f>
      </x:c>
      <x:c r="V38" s="42" t="str">
        <x:f>IF(AND('План'!$C37&lt;=V$2+6,'План'!$D37&gt;=V$2),"■","")</x:f>
      </x:c>
      <x:c r="W38" s="42" t="str">
        <x:f>IF(AND('План'!$C37&lt;=W$2+6,'План'!$D37&gt;=W$2),"■","")</x:f>
      </x:c>
      <x:c r="X38" s="42" t="str">
        <x:f>IF(AND('План'!$C37&lt;=X$2+6,'План'!$D37&gt;=X$2),"■","")</x:f>
      </x:c>
      <x:c r="Y38" s="42" t="str">
        <x:f>IF(AND('План'!$C37&lt;=Y$2+6,'План'!$D37&gt;=Y$2),"■","")</x:f>
      </x:c>
      <x:c r="Z38" s="42" t="str">
        <x:f>IF(AND('План'!$C37&lt;=Z$2+6,'План'!$D37&gt;=Z$2),"■","")</x:f>
      </x:c>
      <x:c r="AA38" s="42" t="str">
        <x:f>IF(AND('План'!$C37&lt;=AA$2+6,'План'!$D37&gt;=AA$2),"■","")</x:f>
      </x:c>
      <x:c r="AB38" s="42" t="str">
        <x:f>IF(AND('План'!$C37&lt;=AB$2+6,'План'!$D37&gt;=AB$2),"■","")</x:f>
      </x:c>
      <x:c r="AC38" s="42" t="str">
        <x:f>IF(AND('План'!$C37&lt;=AC$2+6,'План'!$D37&gt;=AC$2),"■","")</x:f>
      </x:c>
      <x:c r="AD38" s="42" t="str">
        <x:f>IF(AND('План'!$C37&lt;=AD$2+6,'План'!$D37&gt;=AD$2),"■","")</x:f>
      </x:c>
      <x:c r="AE38" s="42" t="str">
        <x:f>IF(AND('План'!$C37&lt;=AE$2+6,'План'!$D37&gt;=AE$2),"■","")</x:f>
      </x:c>
      <x:c r="AF38" s="42" t="str">
        <x:f>IF(AND('План'!$C37&lt;=AF$2+6,'План'!$D37&gt;=AF$2),"■","")</x:f>
      </x:c>
      <x:c r="AG38" s="42" t="str">
        <x:f>IF(AND('План'!$C37&lt;=AG$2+6,'План'!$D37&gt;=AG$2),"■","")</x:f>
      </x:c>
      <x:c r="AH38" s="42" t="str">
        <x:f>IF(AND('План'!$C37&lt;=AH$2+6,'План'!$D37&gt;=AH$2),"■","")</x:f>
      </x:c>
      <x:c r="AI38" s="42" t="str">
        <x:f>IF(AND('План'!$C37&lt;=AI$2+6,'План'!$D37&gt;=AI$2),"■","")</x:f>
      </x:c>
      <x:c r="AJ38" s="42" t="str">
        <x:f>IF(AND('План'!$C37&lt;=AJ$2+6,'План'!$D37&gt;=AJ$2),"■","")</x:f>
      </x:c>
      <x:c r="AK38" s="42" t="str">
        <x:f>IF(AND('План'!$C37&lt;=AK$2+6,'План'!$D37&gt;=AK$2),"■","")</x:f>
      </x:c>
      <x:c r="AL38" s="42" t="str">
        <x:f>IF(AND('План'!$C37&lt;=AL$2+6,'План'!$D37&gt;=AL$2),"■","")</x:f>
      </x:c>
      <x:c r="AM38" s="42" t="str">
        <x:f>IF(AND('План'!$C37&lt;=AM$2+6,'План'!$D37&gt;=AM$2),"■","")</x:f>
        <x:v>■</x:v>
      </x:c>
      <x:c r="AN38" s="42" t="str">
        <x:f>IF(AND('План'!$C37&lt;=AN$2+6,'План'!$D37&gt;=AN$2),"■","")</x:f>
        <x:v>■</x:v>
      </x:c>
    </x:row>
    <x:row r="39" ht="22" customHeight="1">
      <x:c r="A39" s="43" t="str">
        <x:f>'План'!A38</x:f>
        <x:v>1.9.0</x:v>
      </x:c>
      <x:c r="B39" s="43" t="str">
        <x:f>'План'!B38</x:f>
        <x:v>Веха: концепция утверждена</x:v>
      </x:c>
      <x:c r="C39" s="43" t="str">
        <x:f>'План'!F38</x:f>
        <x:v>РП</x:v>
      </x:c>
      <x:c r="D39" s="44" t="n">
        <x:f>'План'!C38</x:f>
        <x:v>46360</x:v>
      </x:c>
      <x:c r="E39" s="44" t="n">
        <x:f>'План'!D38</x:f>
        <x:v>46360</x:v>
      </x:c>
      <x:c r="F39" s="45" t="str">
        <x:f>IF(AND('План'!$C38&lt;=F$2+6,'План'!$D38&gt;=F$2),"■","")</x:f>
      </x:c>
      <x:c r="G39" s="45" t="str">
        <x:f>IF(AND('План'!$C38&lt;=G$2+6,'План'!$D38&gt;=G$2),"■","")</x:f>
      </x:c>
      <x:c r="H39" s="45" t="str">
        <x:f>IF(AND('План'!$C38&lt;=H$2+6,'План'!$D38&gt;=H$2),"■","")</x:f>
      </x:c>
      <x:c r="I39" s="45" t="str">
        <x:f>IF(AND('План'!$C38&lt;=I$2+6,'План'!$D38&gt;=I$2),"■","")</x:f>
      </x:c>
      <x:c r="J39" s="45" t="str">
        <x:f>IF(AND('План'!$C38&lt;=J$2+6,'План'!$D38&gt;=J$2),"■","")</x:f>
        <x:v>■</x:v>
      </x:c>
      <x:c r="K39" s="45" t="str">
        <x:f>IF(AND('План'!$C38&lt;=K$2+6,'План'!$D38&gt;=K$2),"■","")</x:f>
      </x:c>
      <x:c r="L39" s="45" t="str">
        <x:f>IF(AND('План'!$C38&lt;=L$2+6,'План'!$D38&gt;=L$2),"■","")</x:f>
      </x:c>
      <x:c r="M39" s="45" t="str">
        <x:f>IF(AND('План'!$C38&lt;=M$2+6,'План'!$D38&gt;=M$2),"■","")</x:f>
      </x:c>
      <x:c r="N39" s="45" t="str">
        <x:f>IF(AND('План'!$C38&lt;=N$2+6,'План'!$D38&gt;=N$2),"■","")</x:f>
      </x:c>
      <x:c r="O39" s="45" t="str">
        <x:f>IF(AND('План'!$C38&lt;=O$2+6,'План'!$D38&gt;=O$2),"■","")</x:f>
      </x:c>
      <x:c r="P39" s="45" t="str">
        <x:f>IF(AND('План'!$C38&lt;=P$2+6,'План'!$D38&gt;=P$2),"■","")</x:f>
      </x:c>
      <x:c r="Q39" s="45" t="str">
        <x:f>IF(AND('План'!$C38&lt;=Q$2+6,'План'!$D38&gt;=Q$2),"■","")</x:f>
      </x:c>
      <x:c r="R39" s="45" t="str">
        <x:f>IF(AND('План'!$C38&lt;=R$2+6,'План'!$D38&gt;=R$2),"■","")</x:f>
      </x:c>
      <x:c r="S39" s="45" t="str">
        <x:f>IF(AND('План'!$C38&lt;=S$2+6,'План'!$D38&gt;=S$2),"■","")</x:f>
      </x:c>
      <x:c r="T39" s="45" t="str">
        <x:f>IF(AND('План'!$C38&lt;=T$2+6,'План'!$D38&gt;=T$2),"■","")</x:f>
      </x:c>
      <x:c r="U39" s="45" t="str">
        <x:f>IF(AND('План'!$C38&lt;=U$2+6,'План'!$D38&gt;=U$2),"■","")</x:f>
      </x:c>
      <x:c r="V39" s="45" t="str">
        <x:f>IF(AND('План'!$C38&lt;=V$2+6,'План'!$D38&gt;=V$2),"■","")</x:f>
      </x:c>
      <x:c r="W39" s="45" t="str">
        <x:f>IF(AND('План'!$C38&lt;=W$2+6,'План'!$D38&gt;=W$2),"■","")</x:f>
      </x:c>
      <x:c r="X39" s="45" t="str">
        <x:f>IF(AND('План'!$C38&lt;=X$2+6,'План'!$D38&gt;=X$2),"■","")</x:f>
      </x:c>
      <x:c r="Y39" s="45" t="str">
        <x:f>IF(AND('План'!$C38&lt;=Y$2+6,'План'!$D38&gt;=Y$2),"■","")</x:f>
      </x:c>
      <x:c r="Z39" s="45" t="str">
        <x:f>IF(AND('План'!$C38&lt;=Z$2+6,'План'!$D38&gt;=Z$2),"■","")</x:f>
      </x:c>
      <x:c r="AA39" s="45" t="str">
        <x:f>IF(AND('План'!$C38&lt;=AA$2+6,'План'!$D38&gt;=AA$2),"■","")</x:f>
      </x:c>
      <x:c r="AB39" s="45" t="str">
        <x:f>IF(AND('План'!$C38&lt;=AB$2+6,'План'!$D38&gt;=AB$2),"■","")</x:f>
      </x:c>
      <x:c r="AC39" s="45" t="str">
        <x:f>IF(AND('План'!$C38&lt;=AC$2+6,'План'!$D38&gt;=AC$2),"■","")</x:f>
      </x:c>
      <x:c r="AD39" s="45" t="str">
        <x:f>IF(AND('План'!$C38&lt;=AD$2+6,'План'!$D38&gt;=AD$2),"■","")</x:f>
      </x:c>
      <x:c r="AE39" s="45" t="str">
        <x:f>IF(AND('План'!$C38&lt;=AE$2+6,'План'!$D38&gt;=AE$2),"■","")</x:f>
      </x:c>
      <x:c r="AF39" s="45" t="str">
        <x:f>IF(AND('План'!$C38&lt;=AF$2+6,'План'!$D38&gt;=AF$2),"■","")</x:f>
      </x:c>
      <x:c r="AG39" s="45" t="str">
        <x:f>IF(AND('План'!$C38&lt;=AG$2+6,'План'!$D38&gt;=AG$2),"■","")</x:f>
      </x:c>
      <x:c r="AH39" s="45" t="str">
        <x:f>IF(AND('План'!$C38&lt;=AH$2+6,'План'!$D38&gt;=AH$2),"■","")</x:f>
      </x:c>
      <x:c r="AI39" s="45" t="str">
        <x:f>IF(AND('План'!$C38&lt;=AI$2+6,'План'!$D38&gt;=AI$2),"■","")</x:f>
      </x:c>
      <x:c r="AJ39" s="45" t="str">
        <x:f>IF(AND('План'!$C38&lt;=AJ$2+6,'План'!$D38&gt;=AJ$2),"■","")</x:f>
      </x:c>
      <x:c r="AK39" s="45" t="str">
        <x:f>IF(AND('План'!$C38&lt;=AK$2+6,'План'!$D38&gt;=AK$2),"■","")</x:f>
      </x:c>
      <x:c r="AL39" s="45" t="str">
        <x:f>IF(AND('План'!$C38&lt;=AL$2+6,'План'!$D38&gt;=AL$2),"■","")</x:f>
      </x:c>
      <x:c r="AM39" s="45" t="str">
        <x:f>IF(AND('План'!$C38&lt;=AM$2+6,'План'!$D38&gt;=AM$2),"■","")</x:f>
      </x:c>
      <x:c r="AN39" s="45" t="str">
        <x:f>IF(AND('План'!$C38&lt;=AN$2+6,'План'!$D38&gt;=AN$2),"■","")</x:f>
      </x:c>
    </x:row>
    <x:row r="40" ht="22" customHeight="1">
      <x:c r="A40" s="43" t="str">
        <x:f>'План'!A39</x:f>
        <x:v>4.9.0</x:v>
      </x:c>
      <x:c r="B40" s="43" t="str">
        <x:f>'План'!B39</x:f>
        <x:v>Веха: функциональный контур готов</x:v>
      </x:c>
      <x:c r="C40" s="43" t="str">
        <x:f>'План'!F39</x:f>
        <x:v>РП</x:v>
      </x:c>
      <x:c r="D40" s="44" t="n">
        <x:f>'План'!C39</x:f>
        <x:v>46535</x:v>
      </x:c>
      <x:c r="E40" s="44" t="n">
        <x:f>'План'!D39</x:f>
        <x:v>46535</x:v>
      </x:c>
      <x:c r="F40" s="45" t="str">
        <x:f>IF(AND('План'!$C39&lt;=F$2+6,'План'!$D39&gt;=F$2),"■","")</x:f>
      </x:c>
      <x:c r="G40" s="45" t="str">
        <x:f>IF(AND('План'!$C39&lt;=G$2+6,'План'!$D39&gt;=G$2),"■","")</x:f>
      </x:c>
      <x:c r="H40" s="45" t="str">
        <x:f>IF(AND('План'!$C39&lt;=H$2+6,'План'!$D39&gt;=H$2),"■","")</x:f>
      </x:c>
      <x:c r="I40" s="45" t="str">
        <x:f>IF(AND('План'!$C39&lt;=I$2+6,'План'!$D39&gt;=I$2),"■","")</x:f>
      </x:c>
      <x:c r="J40" s="45" t="str">
        <x:f>IF(AND('План'!$C39&lt;=J$2+6,'План'!$D39&gt;=J$2),"■","")</x:f>
      </x:c>
      <x:c r="K40" s="45" t="str">
        <x:f>IF(AND('План'!$C39&lt;=K$2+6,'План'!$D39&gt;=K$2),"■","")</x:f>
      </x:c>
      <x:c r="L40" s="45" t="str">
        <x:f>IF(AND('План'!$C39&lt;=L$2+6,'План'!$D39&gt;=L$2),"■","")</x:f>
      </x:c>
      <x:c r="M40" s="45" t="str">
        <x:f>IF(AND('План'!$C39&lt;=M$2+6,'План'!$D39&gt;=M$2),"■","")</x:f>
      </x:c>
      <x:c r="N40" s="45" t="str">
        <x:f>IF(AND('План'!$C39&lt;=N$2+6,'План'!$D39&gt;=N$2),"■","")</x:f>
      </x:c>
      <x:c r="O40" s="45" t="str">
        <x:f>IF(AND('План'!$C39&lt;=O$2+6,'План'!$D39&gt;=O$2),"■","")</x:f>
      </x:c>
      <x:c r="P40" s="45" t="str">
        <x:f>IF(AND('План'!$C39&lt;=P$2+6,'План'!$D39&gt;=P$2),"■","")</x:f>
      </x:c>
      <x:c r="Q40" s="45" t="str">
        <x:f>IF(AND('План'!$C39&lt;=Q$2+6,'План'!$D39&gt;=Q$2),"■","")</x:f>
      </x:c>
      <x:c r="R40" s="45" t="str">
        <x:f>IF(AND('План'!$C39&lt;=R$2+6,'План'!$D39&gt;=R$2),"■","")</x:f>
      </x:c>
      <x:c r="S40" s="45" t="str">
        <x:f>IF(AND('План'!$C39&lt;=S$2+6,'План'!$D39&gt;=S$2),"■","")</x:f>
      </x:c>
      <x:c r="T40" s="45" t="str">
        <x:f>IF(AND('План'!$C39&lt;=T$2+6,'План'!$D39&gt;=T$2),"■","")</x:f>
      </x:c>
      <x:c r="U40" s="45" t="str">
        <x:f>IF(AND('План'!$C39&lt;=U$2+6,'План'!$D39&gt;=U$2),"■","")</x:f>
      </x:c>
      <x:c r="V40" s="45" t="str">
        <x:f>IF(AND('План'!$C39&lt;=V$2+6,'План'!$D39&gt;=V$2),"■","")</x:f>
      </x:c>
      <x:c r="W40" s="45" t="str">
        <x:f>IF(AND('План'!$C39&lt;=W$2+6,'План'!$D39&gt;=W$2),"■","")</x:f>
      </x:c>
      <x:c r="X40" s="45" t="str">
        <x:f>IF(AND('План'!$C39&lt;=X$2+6,'План'!$D39&gt;=X$2),"■","")</x:f>
      </x:c>
      <x:c r="Y40" s="45" t="str">
        <x:f>IF(AND('План'!$C39&lt;=Y$2+6,'План'!$D39&gt;=Y$2),"■","")</x:f>
      </x:c>
      <x:c r="Z40" s="45" t="str">
        <x:f>IF(AND('План'!$C39&lt;=Z$2+6,'План'!$D39&gt;=Z$2),"■","")</x:f>
      </x:c>
      <x:c r="AA40" s="45" t="str">
        <x:f>IF(AND('План'!$C39&lt;=AA$2+6,'План'!$D39&gt;=AA$2),"■","")</x:f>
      </x:c>
      <x:c r="AB40" s="45" t="str">
        <x:f>IF(AND('План'!$C39&lt;=AB$2+6,'План'!$D39&gt;=AB$2),"■","")</x:f>
      </x:c>
      <x:c r="AC40" s="45" t="str">
        <x:f>IF(AND('План'!$C39&lt;=AC$2+6,'План'!$D39&gt;=AC$2),"■","")</x:f>
      </x:c>
      <x:c r="AD40" s="45" t="str">
        <x:f>IF(AND('План'!$C39&lt;=AD$2+6,'План'!$D39&gt;=AD$2),"■","")</x:f>
      </x:c>
      <x:c r="AE40" s="45" t="str">
        <x:f>IF(AND('План'!$C39&lt;=AE$2+6,'План'!$D39&gt;=AE$2),"■","")</x:f>
      </x:c>
      <x:c r="AF40" s="45" t="str">
        <x:f>IF(AND('План'!$C39&lt;=AF$2+6,'План'!$D39&gt;=AF$2),"■","")</x:f>
      </x:c>
      <x:c r="AG40" s="45" t="str">
        <x:f>IF(AND('План'!$C39&lt;=AG$2+6,'План'!$D39&gt;=AG$2),"■","")</x:f>
      </x:c>
      <x:c r="AH40" s="45" t="str">
        <x:f>IF(AND('План'!$C39&lt;=AH$2+6,'План'!$D39&gt;=AH$2),"■","")</x:f>
      </x:c>
      <x:c r="AI40" s="45" t="str">
        <x:f>IF(AND('План'!$C39&lt;=AI$2+6,'План'!$D39&gt;=AI$2),"■","")</x:f>
        <x:v>■</x:v>
      </x:c>
      <x:c r="AJ40" s="45" t="str">
        <x:f>IF(AND('План'!$C39&lt;=AJ$2+6,'План'!$D39&gt;=AJ$2),"■","")</x:f>
      </x:c>
      <x:c r="AK40" s="45" t="str">
        <x:f>IF(AND('План'!$C39&lt;=AK$2+6,'План'!$D39&gt;=AK$2),"■","")</x:f>
      </x:c>
      <x:c r="AL40" s="45" t="str">
        <x:f>IF(AND('План'!$C39&lt;=AL$2+6,'План'!$D39&gt;=AL$2),"■","")</x:f>
      </x:c>
      <x:c r="AM40" s="45" t="str">
        <x:f>IF(AND('План'!$C39&lt;=AM$2+6,'План'!$D39&gt;=AM$2),"■","")</x:f>
      </x:c>
      <x:c r="AN40" s="45" t="str">
        <x:f>IF(AND('План'!$C39&lt;=AN$2+6,'План'!$D39&gt;=AN$2),"■","")</x:f>
      </x:c>
    </x:row>
    <x:row r="41" ht="22" customHeight="1">
      <x:c r="A41" s="43" t="str">
        <x:f>'План'!A40</x:f>
        <x:v>6.9.0</x:v>
      </x:c>
      <x:c r="B41" s="43" t="str">
        <x:f>'План'!B40</x:f>
        <x:v>Веха: план защищён</x:v>
      </x:c>
      <x:c r="C41" s="43" t="str">
        <x:f>'План'!F40</x:f>
        <x:v>РП</x:v>
      </x:c>
      <x:c r="D41" s="44" t="n">
        <x:f>'План'!C40</x:f>
        <x:v>46568</x:v>
      </x:c>
      <x:c r="E41" s="44" t="n">
        <x:f>'План'!D40</x:f>
        <x:v>46568</x:v>
      </x:c>
      <x:c r="F41" s="45" t="str">
        <x:f>IF(AND('План'!$C40&lt;=F$2+6,'План'!$D40&gt;=F$2),"■","")</x:f>
      </x:c>
      <x:c r="G41" s="45" t="str">
        <x:f>IF(AND('План'!$C40&lt;=G$2+6,'План'!$D40&gt;=G$2),"■","")</x:f>
      </x:c>
      <x:c r="H41" s="45" t="str">
        <x:f>IF(AND('План'!$C40&lt;=H$2+6,'План'!$D40&gt;=H$2),"■","")</x:f>
      </x:c>
      <x:c r="I41" s="45" t="str">
        <x:f>IF(AND('План'!$C40&lt;=I$2+6,'План'!$D40&gt;=I$2),"■","")</x:f>
      </x:c>
      <x:c r="J41" s="45" t="str">
        <x:f>IF(AND('План'!$C40&lt;=J$2+6,'План'!$D40&gt;=J$2),"■","")</x:f>
      </x:c>
      <x:c r="K41" s="45" t="str">
        <x:f>IF(AND('План'!$C40&lt;=K$2+6,'План'!$D40&gt;=K$2),"■","")</x:f>
      </x:c>
      <x:c r="L41" s="45" t="str">
        <x:f>IF(AND('План'!$C40&lt;=L$2+6,'План'!$D40&gt;=L$2),"■","")</x:f>
      </x:c>
      <x:c r="M41" s="45" t="str">
        <x:f>IF(AND('План'!$C40&lt;=M$2+6,'План'!$D40&gt;=M$2),"■","")</x:f>
      </x:c>
      <x:c r="N41" s="45" t="str">
        <x:f>IF(AND('План'!$C40&lt;=N$2+6,'План'!$D40&gt;=N$2),"■","")</x:f>
      </x:c>
      <x:c r="O41" s="45" t="str">
        <x:f>IF(AND('План'!$C40&lt;=O$2+6,'План'!$D40&gt;=O$2),"■","")</x:f>
      </x:c>
      <x:c r="P41" s="45" t="str">
        <x:f>IF(AND('План'!$C40&lt;=P$2+6,'План'!$D40&gt;=P$2),"■","")</x:f>
      </x:c>
      <x:c r="Q41" s="45" t="str">
        <x:f>IF(AND('План'!$C40&lt;=Q$2+6,'План'!$D40&gt;=Q$2),"■","")</x:f>
      </x:c>
      <x:c r="R41" s="45" t="str">
        <x:f>IF(AND('План'!$C40&lt;=R$2+6,'План'!$D40&gt;=R$2),"■","")</x:f>
      </x:c>
      <x:c r="S41" s="45" t="str">
        <x:f>IF(AND('План'!$C40&lt;=S$2+6,'План'!$D40&gt;=S$2),"■","")</x:f>
      </x:c>
      <x:c r="T41" s="45" t="str">
        <x:f>IF(AND('План'!$C40&lt;=T$2+6,'План'!$D40&gt;=T$2),"■","")</x:f>
      </x:c>
      <x:c r="U41" s="45" t="str">
        <x:f>IF(AND('План'!$C40&lt;=U$2+6,'План'!$D40&gt;=U$2),"■","")</x:f>
      </x:c>
      <x:c r="V41" s="45" t="str">
        <x:f>IF(AND('План'!$C40&lt;=V$2+6,'План'!$D40&gt;=V$2),"■","")</x:f>
      </x:c>
      <x:c r="W41" s="45" t="str">
        <x:f>IF(AND('План'!$C40&lt;=W$2+6,'План'!$D40&gt;=W$2),"■","")</x:f>
      </x:c>
      <x:c r="X41" s="45" t="str">
        <x:f>IF(AND('План'!$C40&lt;=X$2+6,'План'!$D40&gt;=X$2),"■","")</x:f>
      </x:c>
      <x:c r="Y41" s="45" t="str">
        <x:f>IF(AND('План'!$C40&lt;=Y$2+6,'План'!$D40&gt;=Y$2),"■","")</x:f>
      </x:c>
      <x:c r="Z41" s="45" t="str">
        <x:f>IF(AND('План'!$C40&lt;=Z$2+6,'План'!$D40&gt;=Z$2),"■","")</x:f>
      </x:c>
      <x:c r="AA41" s="45" t="str">
        <x:f>IF(AND('План'!$C40&lt;=AA$2+6,'План'!$D40&gt;=AA$2),"■","")</x:f>
      </x:c>
      <x:c r="AB41" s="45" t="str">
        <x:f>IF(AND('План'!$C40&lt;=AB$2+6,'План'!$D40&gt;=AB$2),"■","")</x:f>
      </x:c>
      <x:c r="AC41" s="45" t="str">
        <x:f>IF(AND('План'!$C40&lt;=AC$2+6,'План'!$D40&gt;=AC$2),"■","")</x:f>
      </x:c>
      <x:c r="AD41" s="45" t="str">
        <x:f>IF(AND('План'!$C40&lt;=AD$2+6,'План'!$D40&gt;=AD$2),"■","")</x:f>
      </x:c>
      <x:c r="AE41" s="45" t="str">
        <x:f>IF(AND('План'!$C40&lt;=AE$2+6,'План'!$D40&gt;=AE$2),"■","")</x:f>
      </x:c>
      <x:c r="AF41" s="45" t="str">
        <x:f>IF(AND('План'!$C40&lt;=AF$2+6,'План'!$D40&gt;=AF$2),"■","")</x:f>
      </x:c>
      <x:c r="AG41" s="45" t="str">
        <x:f>IF(AND('План'!$C40&lt;=AG$2+6,'План'!$D40&gt;=AG$2),"■","")</x:f>
      </x:c>
      <x:c r="AH41" s="45" t="str">
        <x:f>IF(AND('План'!$C40&lt;=AH$2+6,'План'!$D40&gt;=AH$2),"■","")</x:f>
      </x:c>
      <x:c r="AI41" s="45" t="str">
        <x:f>IF(AND('План'!$C40&lt;=AI$2+6,'План'!$D40&gt;=AI$2),"■","")</x:f>
      </x:c>
      <x:c r="AJ41" s="45" t="str">
        <x:f>IF(AND('План'!$C40&lt;=AJ$2+6,'План'!$D40&gt;=AJ$2),"■","")</x:f>
      </x:c>
      <x:c r="AK41" s="45" t="str">
        <x:f>IF(AND('План'!$C40&lt;=AK$2+6,'План'!$D40&gt;=AK$2),"■","")</x:f>
      </x:c>
      <x:c r="AL41" s="45" t="str">
        <x:f>IF(AND('План'!$C40&lt;=AL$2+6,'План'!$D40&gt;=AL$2),"■","")</x:f>
      </x:c>
      <x:c r="AM41" s="45" t="str">
        <x:f>IF(AND('План'!$C40&lt;=AM$2+6,'План'!$D40&gt;=AM$2),"■","")</x:f>
      </x:c>
      <x:c r="AN41" s="45" t="str">
        <x:f>IF(AND('План'!$C40&lt;=AN$2+6,'План'!$D40&gt;=AN$2),"■","")</x:f>
        <x:v>■</x:v>
      </x:c>
    </x:row>
  </x:sheetData>
  <x:conditionalFormatting sqref="F3:AN41">
    <x:cfRule type="expression" dxfId="0" priority="1">
      <x:formula>AND($D3&lt;=F$2+6,$E3&gt;=F$2)</x:formula>
    </x:cfRule>
  </x:conditionalFormatting>
  <x:pageMargins left="0.7" right="0.7" top="0.75" bottom="0.75" header="0.3" footer="0.3"/>
</x:worksheet>
</file>